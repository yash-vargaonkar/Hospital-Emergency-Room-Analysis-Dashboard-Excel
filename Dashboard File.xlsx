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My Space\Projects\Hospital Emergency Room Dashboard\"/>
    </mc:Choice>
  </mc:AlternateContent>
  <xr:revisionPtr revIDLastSave="0" documentId="13_ncr:1_{02BB85B7-BF8C-45E3-929D-F28DE71D7CB3}" xr6:coauthVersionLast="47" xr6:coauthVersionMax="47" xr10:uidLastSave="{00000000-0000-0000-0000-000000000000}"/>
  <bookViews>
    <workbookView xWindow="-108" yWindow="-108" windowWidth="23256" windowHeight="13896" tabRatio="837" activeTab="1" xr2:uid="{56FE9936-29F7-4C5E-BF5D-DE00231A1F75}"/>
  </bookViews>
  <sheets>
    <sheet name="Pivot Report" sheetId="1" r:id="rId1"/>
    <sheet name="Dashboard" sheetId="2" r:id="rId2"/>
    <sheet name="Average Wait Time Daily Trend" sheetId="4" r:id="rId3"/>
    <sheet name="Daily ER No. of Patients" sheetId="3" r:id="rId4"/>
    <sheet name="Satisfaction Score Daily Trend" sheetId="5" r:id="rId5"/>
  </sheets>
  <definedNames>
    <definedName name="Slicer_Date__Month">#N/A</definedName>
    <definedName name="Slicer_Date__Year">#N/A</definedName>
  </definedNames>
  <calcPr calcId="191029"/>
  <pivotCaches>
    <pivotCache cacheId="898" r:id="rId6"/>
    <pivotCache cacheId="901" r:id="rId7"/>
    <pivotCache cacheId="904" r:id="rId8"/>
    <pivotCache cacheId="907" r:id="rId9"/>
    <pivotCache cacheId="910" r:id="rId10"/>
    <pivotCache cacheId="913" r:id="rId11"/>
    <pivotCache cacheId="916" r:id="rId12"/>
    <pivotCache cacheId="919" r:id="rId13"/>
    <pivotCache cacheId="922" r:id="rId14"/>
    <pivotCache cacheId="925" r:id="rId15"/>
    <pivotCache cacheId="928" r:id="rId16"/>
    <pivotCache cacheId="931" r:id="rId17"/>
  </pivotCaches>
  <extLst>
    <ext xmlns:x14="http://schemas.microsoft.com/office/spreadsheetml/2009/9/main" uri="{876F7934-8845-4945-9796-88D515C7AA90}">
      <x14:pivotCaches>
        <pivotCache cacheId="27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f02c146-3396-4713-bd1c-4b56246eedb2" name="Hospital Emergency Room Data" connection="Query - Hospital Emergency Room Data"/>
          <x15:modelTable id="Calendar_Table_4f700a56-5ed3-4169-8bf9-28a79093ff0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B47" i="1"/>
  <c r="C47"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158AAC-D8BC-4B56-83A5-27160EF70015}" name="Query - Calendar_Table" description="Connection to the 'Calendar_Table' query in the workbook." type="100" refreshedVersion="8" minRefreshableVersion="5">
    <extLst>
      <ext xmlns:x15="http://schemas.microsoft.com/office/spreadsheetml/2010/11/main" uri="{DE250136-89BD-433C-8126-D09CA5730AF9}">
        <x15:connection id="46349e9a-462e-4bcd-bcb1-be10e4011da1"/>
      </ext>
    </extLst>
  </connection>
  <connection id="2" xr16:uid="{B05516BB-8AA1-452A-9369-63EF1ED8FE6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b1cde19-acd2-42c9-abb4-90d6a532dcdc"/>
      </ext>
    </extLst>
  </connection>
  <connection id="3" xr16:uid="{F1AF98E3-CAC2-4DB7-B121-CDAC1269201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<sst xmlns="http://schemas.openxmlformats.org/spreadsheetml/2006/main" count="157" uniqueCount="78">
  <si>
    <t>Distinct Count of Patient Id</t>
  </si>
  <si>
    <t>No. of patients</t>
  </si>
  <si>
    <t>Average of Patient Waittime</t>
  </si>
  <si>
    <t>Average of Patient Satisfaction Score</t>
  </si>
  <si>
    <t>Row Labels</t>
  </si>
  <si>
    <t>Grand Total</t>
  </si>
  <si>
    <t>Daily trends of Average Wait Time</t>
  </si>
  <si>
    <t>Daily trends of no. of patients</t>
  </si>
  <si>
    <t>•Use an area Chart to track daily changes and highlight days with longer wait times that might need improvements.</t>
  </si>
  <si>
    <t>Use an area Chart to show trends, spot drops in satisfaction, and link them to busy times or challenges.</t>
  </si>
  <si>
    <t>Daily trends of Satisfaction Score</t>
  </si>
  <si>
    <t>Count of Patient Admission Flag</t>
  </si>
  <si>
    <t>Admitted</t>
  </si>
  <si>
    <t>Not Admitted</t>
  </si>
  <si>
    <t>Count of Patient Admission Flag2</t>
  </si>
  <si>
    <t>Admission Status</t>
  </si>
  <si>
    <t>No. of Patients</t>
  </si>
  <si>
    <t>% Status</t>
  </si>
  <si>
    <t>Chart</t>
  </si>
  <si>
    <t>0,09</t>
  </si>
  <si>
    <t>10-19</t>
  </si>
  <si>
    <t>20-29</t>
  </si>
  <si>
    <t>30-39</t>
  </si>
  <si>
    <t>40-49</t>
  </si>
  <si>
    <t>50-59</t>
  </si>
  <si>
    <t>60-69</t>
  </si>
  <si>
    <t>70-79</t>
  </si>
  <si>
    <t>Count of Age Group</t>
  </si>
  <si>
    <t>Age Group Wise Analysis</t>
  </si>
  <si>
    <t>Delay</t>
  </si>
  <si>
    <t>Ontime</t>
  </si>
  <si>
    <t>Count of Patient Attend status</t>
  </si>
  <si>
    <t>Patient Attend status Wise Analysis</t>
  </si>
  <si>
    <t>Female</t>
  </si>
  <si>
    <t>Male</t>
  </si>
  <si>
    <t>Count of Patient Gender</t>
  </si>
  <si>
    <t>Patient Gender Wise Analysis</t>
  </si>
  <si>
    <t>Department Wise Analysis</t>
  </si>
  <si>
    <t>Cardiology</t>
  </si>
  <si>
    <t>Gastroenterology</t>
  </si>
  <si>
    <t>General Practice</t>
  </si>
  <si>
    <t>Neurology</t>
  </si>
  <si>
    <t>None</t>
  </si>
  <si>
    <t>Orthopedics</t>
  </si>
  <si>
    <t>Physiotherapy</t>
  </si>
  <si>
    <t>Renal</t>
  </si>
  <si>
    <t>Count of Department Referral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</si>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</sst>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4"/>
      <color theme="1"/>
      <name val="Aptos Narrow"/>
      <family val="2"/>
      <scheme val="minor"/>
    </font>
    <font>
      <b/>
      <sz val="11"/>
      <color theme="0"/>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0" borderId="0" xfId="0" applyAlignment="1">
      <alignment horizontal="center"/>
    </xf>
    <xf numFmtId="0" fontId="0" fillId="0" borderId="0" xfId="0" applyAlignment="1">
      <alignment horizontal="center"/>
    </xf>
    <xf numFmtId="0" fontId="1" fillId="0" borderId="0" xfId="0" applyFont="1" applyAlignment="1">
      <alignment horizontal="center" vertical="center"/>
    </xf>
    <xf numFmtId="0" fontId="0" fillId="0" borderId="0" xfId="0" applyNumberFormat="1"/>
    <xf numFmtId="1" fontId="0" fillId="0" borderId="0" xfId="0" applyNumberFormat="1"/>
    <xf numFmtId="10" fontId="0" fillId="0" borderId="0" xfId="0" applyNumberFormat="1"/>
    <xf numFmtId="0" fontId="0" fillId="5" borderId="0" xfId="0" applyFill="1"/>
    <xf numFmtId="10" fontId="0" fillId="5" borderId="0" xfId="0" applyNumberFormat="1" applyFill="1"/>
    <xf numFmtId="0" fontId="2" fillId="4" borderId="0" xfId="0" applyFont="1" applyFill="1" applyAlignment="1">
      <alignment horizontal="left"/>
    </xf>
    <xf numFmtId="0" fontId="2" fillId="4" borderId="0" xfId="0" applyFont="1" applyFill="1"/>
    <xf numFmtId="0" fontId="3" fillId="5" borderId="0" xfId="0" applyFont="1" applyFill="1"/>
  </cellXfs>
  <cellStyles count="1">
    <cellStyle name="Normal" xfId="0" builtinId="0"/>
  </cellStyles>
  <dxfs count="189">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b/>
        <i val="0"/>
        <sz val="8"/>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b/>
        <i val="0"/>
        <sz val="5"/>
        <color theme="1"/>
      </font>
      <fill>
        <patternFill patternType="solid">
          <bgColor theme="0" tint="-4.9989318521683403E-2"/>
        </patternFill>
      </fill>
      <border diagonalUp="0" diagonalDown="0">
        <left/>
        <right/>
        <top/>
        <bottom/>
        <vertical/>
        <horizontal/>
      </border>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s>
  <tableStyles count="2" defaultTableStyle="TableStyleMedium2" defaultPivotStyle="PivotStyleLight16">
    <tableStyle name="My Style" pivot="0" table="0" count="10" xr9:uid="{3F5DEE30-C848-4A2C-820D-7A59198ADC66}">
      <tableStyleElement type="wholeTable" dxfId="122"/>
      <tableStyleElement type="headerRow" dxfId="121"/>
    </tableStyle>
    <tableStyle name="My Style 2 " pivot="0" table="0" count="10" xr9:uid="{2DFCBD51-A285-47BE-B6FC-3232D03CB595}">
      <tableStyleElement type="wholeTable" dxfId="124"/>
      <tableStyleElement type="headerRow" dxfId="123"/>
    </tableStyle>
  </tableStyle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2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B6478354-4129-440D-B674-A544630E5CF1}" type="CELLRANGE">
                  <a:rPr lang="en-US"/>
                  <a:pPr>
                    <a:defRPr sz="5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BF5056AC-C233-478C-A23B-4FDE792BF89B}" type="CELLRANGE">
                  <a:rPr lang="en-US"/>
                  <a:pPr>
                    <a:defRPr sz="5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2.425908910338636E-2"/>
          <c:y val="0.19403882721099397"/>
          <c:w val="0.97574091089661363"/>
          <c:h val="0.61192234557801206"/>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Lbls>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dLbl>
              <c:idx val="1"/>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c:formatCode>
                <c:ptCount val="2"/>
                <c:pt idx="0">
                  <c:v>235</c:v>
                </c:pt>
                <c:pt idx="1">
                  <c:v>250</c:v>
                </c:pt>
              </c:numCache>
            </c:numRef>
          </c:val>
          <c:extLst>
            <c:ext xmlns:c16="http://schemas.microsoft.com/office/drawing/2014/chart" uri="{C3380CC4-5D6E-409C-BE32-E72D297353CC}">
              <c16:uniqueId val="{00000007-2BDE-4A10-A5FF-572B53FD6522}"/>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0.4845360824742268</c:v>
                </c:pt>
                <c:pt idx="1">
                  <c:v>0.51546391752577314</c:v>
                </c:pt>
              </c:numCache>
            </c:numRef>
          </c:val>
          <c:extLst>
            <c:ext xmlns:c16="http://schemas.microsoft.com/office/drawing/2014/chart" uri="{C3380CC4-5D6E-409C-BE32-E72D297353CC}">
              <c16:uniqueId val="{00000008-2BDE-4A10-A5FF-572B53FD6522}"/>
            </c:ext>
          </c:extLst>
        </c:ser>
        <c:dLbls>
          <c:showLegendKey val="0"/>
          <c:showVal val="0"/>
          <c:showCatName val="0"/>
          <c:showSerName val="0"/>
          <c:showPercent val="0"/>
          <c:showBubbleSize val="0"/>
        </c:dLbls>
        <c:gapWidth val="0"/>
        <c:axId val="1990949312"/>
        <c:axId val="2147291248"/>
      </c:barChart>
      <c:catAx>
        <c:axId val="1990949312"/>
        <c:scaling>
          <c:orientation val="minMax"/>
        </c:scaling>
        <c:delete val="1"/>
        <c:axPos val="l"/>
        <c:numFmt formatCode="General" sourceLinked="1"/>
        <c:majorTickMark val="none"/>
        <c:minorTickMark val="none"/>
        <c:tickLblPos val="nextTo"/>
        <c:crossAx val="2147291248"/>
        <c:crosses val="autoZero"/>
        <c:auto val="1"/>
        <c:lblAlgn val="ctr"/>
        <c:lblOffset val="100"/>
        <c:noMultiLvlLbl val="0"/>
      </c:catAx>
      <c:valAx>
        <c:axId val="2147291248"/>
        <c:scaling>
          <c:orientation val="minMax"/>
        </c:scaling>
        <c:delete val="1"/>
        <c:axPos val="b"/>
        <c:numFmt formatCode="0" sourceLinked="1"/>
        <c:majorTickMark val="none"/>
        <c:minorTickMark val="none"/>
        <c:tickLblPos val="nextTo"/>
        <c:crossAx val="1990949312"/>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74055712989117E-2"/>
          <c:y val="5.1011442428867654E-2"/>
          <c:w val="0.91545188857402171"/>
          <c:h val="0.7229425970648337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2-B316-409A-9E1C-21DD5DDE71C0}"/>
            </c:ext>
          </c:extLst>
        </c:ser>
        <c:dLbls>
          <c:showLegendKey val="0"/>
          <c:showVal val="0"/>
          <c:showCatName val="0"/>
          <c:showSerName val="0"/>
          <c:showPercent val="0"/>
          <c:showBubbleSize val="0"/>
        </c:dLbls>
        <c:axId val="1578043295"/>
        <c:axId val="2053496463"/>
      </c:areaChart>
      <c:catAx>
        <c:axId val="1578043295"/>
        <c:scaling>
          <c:orientation val="minMax"/>
        </c:scaling>
        <c:delete val="1"/>
        <c:axPos val="b"/>
        <c:numFmt formatCode="General" sourceLinked="1"/>
        <c:majorTickMark val="out"/>
        <c:minorTickMark val="none"/>
        <c:tickLblPos val="nextTo"/>
        <c:crossAx val="2053496463"/>
        <c:crosses val="autoZero"/>
        <c:auto val="1"/>
        <c:lblAlgn val="ctr"/>
        <c:lblOffset val="100"/>
        <c:noMultiLvlLbl val="0"/>
      </c:catAx>
      <c:valAx>
        <c:axId val="2053496463"/>
        <c:scaling>
          <c:orientation val="minMax"/>
        </c:scaling>
        <c:delete val="1"/>
        <c:axPos val="l"/>
        <c:numFmt formatCode="General" sourceLinked="1"/>
        <c:majorTickMark val="none"/>
        <c:minorTickMark val="none"/>
        <c:tickLblPos val="nextTo"/>
        <c:crossAx val="1578043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Report!PivotTable5</c:name>
    <c:fmtId val="1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53019247283629E-2"/>
          <c:y val="0.3055562238762552"/>
          <c:w val="0.92380962175633818"/>
          <c:h val="0.61111026052112971"/>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Report'!$H$5:$H$35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2-BB6E-490B-8F3A-A2A9CB8E56A1}"/>
            </c:ext>
          </c:extLst>
        </c:ser>
        <c:dLbls>
          <c:showLegendKey val="0"/>
          <c:showVal val="0"/>
          <c:showCatName val="0"/>
          <c:showSerName val="0"/>
          <c:showPercent val="0"/>
          <c:showBubbleSize val="0"/>
        </c:dLbls>
        <c:axId val="558222687"/>
        <c:axId val="1751405391"/>
      </c:areaChart>
      <c:catAx>
        <c:axId val="558222687"/>
        <c:scaling>
          <c:orientation val="minMax"/>
        </c:scaling>
        <c:delete val="1"/>
        <c:axPos val="b"/>
        <c:numFmt formatCode="General" sourceLinked="1"/>
        <c:majorTickMark val="out"/>
        <c:minorTickMark val="none"/>
        <c:tickLblPos val="nextTo"/>
        <c:crossAx val="1751405391"/>
        <c:crosses val="autoZero"/>
        <c:auto val="1"/>
        <c:lblAlgn val="ctr"/>
        <c:lblOffset val="100"/>
        <c:noMultiLvlLbl val="0"/>
      </c:catAx>
      <c:valAx>
        <c:axId val="1751405391"/>
        <c:scaling>
          <c:orientation val="minMax"/>
        </c:scaling>
        <c:delete val="1"/>
        <c:axPos val="l"/>
        <c:numFmt formatCode="0.00" sourceLinked="1"/>
        <c:majorTickMark val="none"/>
        <c:minorTickMark val="none"/>
        <c:tickLblPos val="nextTo"/>
        <c:crossAx val="558222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Report!PivotTable6</c:name>
    <c:fmtId val="26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02939632545932E-2"/>
          <c:y val="0"/>
          <c:w val="0.9625003674540682"/>
          <c:h val="0.9710144265991707"/>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2-C836-43F5-AF52-3427C88273D8}"/>
            </c:ext>
          </c:extLst>
        </c:ser>
        <c:dLbls>
          <c:showLegendKey val="0"/>
          <c:showVal val="0"/>
          <c:showCatName val="0"/>
          <c:showSerName val="0"/>
          <c:showPercent val="0"/>
          <c:showBubbleSize val="0"/>
        </c:dLbls>
        <c:axId val="558161903"/>
        <c:axId val="2053549263"/>
      </c:areaChart>
      <c:catAx>
        <c:axId val="558161903"/>
        <c:scaling>
          <c:orientation val="minMax"/>
        </c:scaling>
        <c:delete val="1"/>
        <c:axPos val="b"/>
        <c:numFmt formatCode="General" sourceLinked="1"/>
        <c:majorTickMark val="out"/>
        <c:minorTickMark val="none"/>
        <c:tickLblPos val="nextTo"/>
        <c:crossAx val="2053549263"/>
        <c:crosses val="autoZero"/>
        <c:auto val="1"/>
        <c:lblAlgn val="ctr"/>
        <c:lblOffset val="100"/>
        <c:noMultiLvlLbl val="0"/>
      </c:catAx>
      <c:valAx>
        <c:axId val="2053549263"/>
        <c:scaling>
          <c:orientation val="minMax"/>
        </c:scaling>
        <c:delete val="1"/>
        <c:axPos val="l"/>
        <c:numFmt formatCode="0.00" sourceLinked="1"/>
        <c:majorTickMark val="none"/>
        <c:minorTickMark val="none"/>
        <c:tickLblPos val="nextTo"/>
        <c:crossAx val="5581619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0071624400179E-2"/>
          <c:y val="0.16572494878185637"/>
          <c:w val="0.92239856751199645"/>
          <c:h val="0.40597630026466169"/>
        </c:manualLayout>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F094-4898-A723-957FB71CB88D}"/>
            </c:ext>
          </c:extLst>
        </c:ser>
        <c:dLbls>
          <c:showLegendKey val="0"/>
          <c:showVal val="0"/>
          <c:showCatName val="0"/>
          <c:showSerName val="0"/>
          <c:showPercent val="0"/>
          <c:showBubbleSize val="0"/>
        </c:dLbls>
        <c:gapWidth val="219"/>
        <c:overlap val="-27"/>
        <c:axId val="561534528"/>
        <c:axId val="2147311888"/>
      </c:barChart>
      <c:catAx>
        <c:axId val="56153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147311888"/>
        <c:crosses val="autoZero"/>
        <c:auto val="1"/>
        <c:lblAlgn val="ctr"/>
        <c:lblOffset val="100"/>
        <c:noMultiLvlLbl val="0"/>
      </c:catAx>
      <c:valAx>
        <c:axId val="2147311888"/>
        <c:scaling>
          <c:orientation val="minMax"/>
        </c:scaling>
        <c:delete val="1"/>
        <c:axPos val="l"/>
        <c:numFmt formatCode="0" sourceLinked="1"/>
        <c:majorTickMark val="none"/>
        <c:minorTickMark val="none"/>
        <c:tickLblPos val="nextTo"/>
        <c:crossAx val="56153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8.3597426427891197E-2"/>
          <c:y val="0.13904946526325845"/>
          <c:w val="0.85782268366896619"/>
          <c:h val="0.86095053473674155"/>
        </c:manualLayout>
      </c:layout>
      <c:pieChart>
        <c:varyColors val="1"/>
        <c:ser>
          <c:idx val="0"/>
          <c:order val="0"/>
          <c:tx>
            <c:strRef>
              <c:f>'Pivot Report'!$E$51</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Report'!$D$52:$D$54</c:f>
              <c:strCache>
                <c:ptCount val="2"/>
                <c:pt idx="0">
                  <c:v>Delay</c:v>
                </c:pt>
                <c:pt idx="1">
                  <c:v>Ontime</c:v>
                </c:pt>
              </c:strCache>
            </c:strRef>
          </c:cat>
          <c:val>
            <c:numRef>
              <c:f>'Pivot Report'!$E$52:$E$54</c:f>
              <c:numCache>
                <c:formatCode>0</c:formatCode>
                <c:ptCount val="2"/>
                <c:pt idx="0">
                  <c:v>297</c:v>
                </c:pt>
                <c:pt idx="1">
                  <c:v>188</c:v>
                </c:pt>
              </c:numCache>
            </c:numRef>
          </c:val>
          <c:extLst>
            <c:ext xmlns:c16="http://schemas.microsoft.com/office/drawing/2014/chart" uri="{C3380CC4-5D6E-409C-BE32-E72D297353CC}">
              <c16:uniqueId val="{00000007-22CC-4275-A197-ED85439970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3487794114231308E-2"/>
          <c:y val="2.4890752292327074E-2"/>
          <c:w val="0.83630594848210349"/>
          <c:h val="0.1017336469304972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Report!PivotTable10</c:name>
    <c:fmtId val="1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681631937555021"/>
          <c:y val="0.13541764889438018"/>
          <c:w val="0.74330155476745907"/>
          <c:h val="0.75018542839061764"/>
        </c:manualLayout>
      </c:layout>
      <c:doughnutChart>
        <c:varyColors val="1"/>
        <c:ser>
          <c:idx val="0"/>
          <c:order val="0"/>
          <c:tx>
            <c:strRef>
              <c:f>'Pivot Report'!$E$58</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Report'!$D$59:$D$61</c:f>
              <c:strCache>
                <c:ptCount val="2"/>
                <c:pt idx="0">
                  <c:v>Female</c:v>
                </c:pt>
                <c:pt idx="1">
                  <c:v>Male</c:v>
                </c:pt>
              </c:strCache>
            </c:strRef>
          </c:cat>
          <c:val>
            <c:numRef>
              <c:f>'Pivot Report'!$E$59:$E$61</c:f>
              <c:numCache>
                <c:formatCode>0</c:formatCode>
                <c:ptCount val="2"/>
                <c:pt idx="0">
                  <c:v>239</c:v>
                </c:pt>
                <c:pt idx="1">
                  <c:v>246</c:v>
                </c:pt>
              </c:numCache>
            </c:numRef>
          </c:val>
          <c:extLst>
            <c:ext xmlns:c16="http://schemas.microsoft.com/office/drawing/2014/chart" uri="{C3380CC4-5D6E-409C-BE32-E72D297353CC}">
              <c16:uniqueId val="{00000007-B697-4277-96C1-C03AB3262056}"/>
            </c:ext>
          </c:extLst>
        </c:ser>
        <c:dLbls>
          <c:showLegendKey val="0"/>
          <c:showVal val="0"/>
          <c:showCatName val="0"/>
          <c:showSerName val="0"/>
          <c:showPercent val="1"/>
          <c:showBubbleSize val="0"/>
          <c:showLeaderLines val="1"/>
        </c:dLbls>
        <c:firstSliceAng val="0"/>
        <c:holeSize val="32"/>
      </c:doughnutChart>
      <c:spPr>
        <a:noFill/>
        <a:ln>
          <a:noFill/>
        </a:ln>
        <a:effectLst/>
      </c:spPr>
    </c:plotArea>
    <c:legend>
      <c:legendPos val="r"/>
      <c:layout>
        <c:manualLayout>
          <c:xMode val="edge"/>
          <c:yMode val="edge"/>
          <c:x val="0.21228711282514598"/>
          <c:y val="1.601051425149631E-2"/>
          <c:w val="0.59927075248797657"/>
          <c:h val="0.1293860703013347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85968613162016"/>
          <c:y val="2.6314749156055115E-2"/>
          <c:w val="0.6382270058916909"/>
          <c:h val="0.94737050168788972"/>
        </c:manualLayout>
      </c:layout>
      <c:barChart>
        <c:barDir val="bar"/>
        <c:grouping val="clustered"/>
        <c:varyColors val="0"/>
        <c:ser>
          <c:idx val="0"/>
          <c:order val="0"/>
          <c:tx>
            <c:strRef>
              <c:f>'Pivot Report'!$H$51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Report'!$G$52:$G$60</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Report'!$H$52:$H$60</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3-F6DA-4DFB-AC4E-CB34BFF8A04A}"/>
            </c:ext>
          </c:extLst>
        </c:ser>
        <c:dLbls>
          <c:showLegendKey val="0"/>
          <c:showVal val="0"/>
          <c:showCatName val="0"/>
          <c:showSerName val="0"/>
          <c:showPercent val="0"/>
          <c:showBubbleSize val="0"/>
        </c:dLbls>
        <c:gapWidth val="30"/>
        <c:axId val="561525712"/>
        <c:axId val="2147341648"/>
      </c:barChart>
      <c:catAx>
        <c:axId val="56152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147341648"/>
        <c:crosses val="autoZero"/>
        <c:auto val="1"/>
        <c:lblAlgn val="ctr"/>
        <c:lblOffset val="100"/>
        <c:noMultiLvlLbl val="0"/>
      </c:catAx>
      <c:valAx>
        <c:axId val="2147341648"/>
        <c:scaling>
          <c:orientation val="minMax"/>
        </c:scaling>
        <c:delete val="1"/>
        <c:axPos val="b"/>
        <c:numFmt formatCode="0" sourceLinked="1"/>
        <c:majorTickMark val="none"/>
        <c:minorTickMark val="none"/>
        <c:tickLblPos val="nextTo"/>
        <c:crossAx val="56152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Report!PivotTable5</c:name>
    <c:fmtId val="18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45246486756175E-2"/>
          <c:y val="0.11780341798696307"/>
          <c:w val="0.92380962175633818"/>
          <c:h val="0.61111026052112971"/>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Report'!$H$5:$H$35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1-B474-4363-9932-902C0FDBBFB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8222687"/>
        <c:axId val="1751405391"/>
      </c:areaChart>
      <c:catAx>
        <c:axId val="5582226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1751405391"/>
        <c:crosses val="autoZero"/>
        <c:auto val="1"/>
        <c:lblAlgn val="ctr"/>
        <c:lblOffset val="100"/>
        <c:noMultiLvlLbl val="0"/>
      </c:catAx>
      <c:valAx>
        <c:axId val="1751405391"/>
        <c:scaling>
          <c:orientation val="minMax"/>
        </c:scaling>
        <c:delete val="1"/>
        <c:axPos val="l"/>
        <c:numFmt formatCode="0.00" sourceLinked="1"/>
        <c:majorTickMark val="out"/>
        <c:minorTickMark val="none"/>
        <c:tickLblPos val="nextTo"/>
        <c:crossAx val="558222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74055712989117E-2"/>
          <c:y val="5.1011442428867654E-2"/>
          <c:w val="0.91545188857402171"/>
          <c:h val="0.7229425970648337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1-466E-4B34-80FE-D9E40B193D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78043295"/>
        <c:axId val="2053496463"/>
      </c:areaChart>
      <c:catAx>
        <c:axId val="15780432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3496463"/>
        <c:crosses val="autoZero"/>
        <c:auto val="1"/>
        <c:lblAlgn val="ctr"/>
        <c:lblOffset val="100"/>
        <c:noMultiLvlLbl val="0"/>
      </c:catAx>
      <c:valAx>
        <c:axId val="2053496463"/>
        <c:scaling>
          <c:orientation val="minMax"/>
        </c:scaling>
        <c:delete val="1"/>
        <c:axPos val="l"/>
        <c:numFmt formatCode="General" sourceLinked="1"/>
        <c:majorTickMark val="out"/>
        <c:minorTickMark val="none"/>
        <c:tickLblPos val="nextTo"/>
        <c:crossAx val="1578043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File.xlsx]Pivot Report!PivotTable6</c:name>
    <c:fmtId val="27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1-05CA-43D0-8FC6-BFEC2A0E2C3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8161903"/>
        <c:axId val="2053549263"/>
      </c:areaChart>
      <c:catAx>
        <c:axId val="5581619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3549263"/>
        <c:crosses val="autoZero"/>
        <c:auto val="1"/>
        <c:lblAlgn val="ctr"/>
        <c:lblOffset val="100"/>
        <c:noMultiLvlLbl val="0"/>
      </c:catAx>
      <c:valAx>
        <c:axId val="2053549263"/>
        <c:scaling>
          <c:orientation val="minMax"/>
        </c:scaling>
        <c:delete val="1"/>
        <c:axPos val="l"/>
        <c:numFmt formatCode="0.00" sourceLinked="1"/>
        <c:majorTickMark val="out"/>
        <c:minorTickMark val="none"/>
        <c:tickLblPos val="nextTo"/>
        <c:crossAx val="5581619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erage Wait 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ily ER No. of Patients'!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ction Score Daily Trend'!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10507</xdr:colOff>
      <xdr:row>45</xdr:row>
      <xdr:rowOff>183930</xdr:rowOff>
    </xdr:from>
    <xdr:to>
      <xdr:col>4</xdr:col>
      <xdr:colOff>5256</xdr:colOff>
      <xdr:row>48</xdr:row>
      <xdr:rowOff>10510</xdr:rowOff>
    </xdr:to>
    <xdr:graphicFrame macro="">
      <xdr:nvGraphicFramePr>
        <xdr:cNvPr id="2" name="Chart 1">
          <a:extLst>
            <a:ext uri="{FF2B5EF4-FFF2-40B4-BE49-F238E27FC236}">
              <a16:creationId xmlns:a16="http://schemas.microsoft.com/office/drawing/2014/main" id="{47141344-247B-71C9-ACFD-3D9B45010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128587</xdr:colOff>
      <xdr:row>0</xdr:row>
      <xdr:rowOff>95251</xdr:rowOff>
    </xdr:from>
    <xdr:to>
      <xdr:col>5</xdr:col>
      <xdr:colOff>581025</xdr:colOff>
      <xdr:row>3</xdr:row>
      <xdr:rowOff>42863</xdr:rowOff>
    </xdr:to>
    <xdr:sp macro="" textlink="">
      <xdr:nvSpPr>
        <xdr:cNvPr id="2" name="Rectangle: Rounded Corners 1">
          <a:extLst>
            <a:ext uri="{FF2B5EF4-FFF2-40B4-BE49-F238E27FC236}">
              <a16:creationId xmlns:a16="http://schemas.microsoft.com/office/drawing/2014/main" id="{DB5CA7D3-3A10-F1E5-9BCD-C4437D593D9C}"/>
            </a:ext>
          </a:extLst>
        </xdr:cNvPr>
        <xdr:cNvSpPr/>
      </xdr:nvSpPr>
      <xdr:spPr>
        <a:xfrm>
          <a:off x="128587" y="95251"/>
          <a:ext cx="3500438" cy="49053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12989</xdr:colOff>
      <xdr:row>0</xdr:row>
      <xdr:rowOff>104777</xdr:rowOff>
    </xdr:from>
    <xdr:to>
      <xdr:col>7</xdr:col>
      <xdr:colOff>267999</xdr:colOff>
      <xdr:row>3</xdr:row>
      <xdr:rowOff>42864</xdr:rowOff>
    </xdr:to>
    <xdr:sp macro="" textlink="">
      <xdr:nvSpPr>
        <xdr:cNvPr id="3" name="Rectangle: Rounded Corners 2">
          <a:extLst>
            <a:ext uri="{FF2B5EF4-FFF2-40B4-BE49-F238E27FC236}">
              <a16:creationId xmlns:a16="http://schemas.microsoft.com/office/drawing/2014/main" id="{EB4C9A63-32F5-EF16-37BE-352929E78742}"/>
            </a:ext>
          </a:extLst>
        </xdr:cNvPr>
        <xdr:cNvSpPr/>
      </xdr:nvSpPr>
      <xdr:spPr>
        <a:xfrm>
          <a:off x="3675784" y="104777"/>
          <a:ext cx="878465" cy="48361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353720</xdr:colOff>
      <xdr:row>0</xdr:row>
      <xdr:rowOff>90489</xdr:rowOff>
    </xdr:from>
    <xdr:to>
      <xdr:col>9</xdr:col>
      <xdr:colOff>266699</xdr:colOff>
      <xdr:row>6</xdr:row>
      <xdr:rowOff>90487</xdr:rowOff>
    </xdr:to>
    <xdr:sp macro="" textlink="">
      <xdr:nvSpPr>
        <xdr:cNvPr id="4" name="Rectangle: Rounded Corners 3">
          <a:extLst>
            <a:ext uri="{FF2B5EF4-FFF2-40B4-BE49-F238E27FC236}">
              <a16:creationId xmlns:a16="http://schemas.microsoft.com/office/drawing/2014/main" id="{CFF217CC-51DB-266C-FF8C-53A8BAB6B47A}"/>
            </a:ext>
          </a:extLst>
        </xdr:cNvPr>
        <xdr:cNvSpPr/>
      </xdr:nvSpPr>
      <xdr:spPr>
        <a:xfrm>
          <a:off x="4635208" y="90489"/>
          <a:ext cx="1132179" cy="1085848"/>
        </a:xfrm>
        <a:prstGeom prst="roundRect">
          <a:avLst>
            <a:gd name="adj" fmla="val 879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309562</xdr:colOff>
      <xdr:row>0</xdr:row>
      <xdr:rowOff>90489</xdr:rowOff>
    </xdr:from>
    <xdr:to>
      <xdr:col>11</xdr:col>
      <xdr:colOff>239423</xdr:colOff>
      <xdr:row>6</xdr:row>
      <xdr:rowOff>90487</xdr:rowOff>
    </xdr:to>
    <xdr:sp macro="" textlink="">
      <xdr:nvSpPr>
        <xdr:cNvPr id="5" name="Rectangle: Rounded Corners 4">
          <a:extLst>
            <a:ext uri="{FF2B5EF4-FFF2-40B4-BE49-F238E27FC236}">
              <a16:creationId xmlns:a16="http://schemas.microsoft.com/office/drawing/2014/main" id="{3FE465A5-BDE5-D545-6433-ED70530F25EB}"/>
            </a:ext>
          </a:extLst>
        </xdr:cNvPr>
        <xdr:cNvSpPr/>
      </xdr:nvSpPr>
      <xdr:spPr>
        <a:xfrm>
          <a:off x="5810250" y="90489"/>
          <a:ext cx="1149061" cy="1085848"/>
        </a:xfrm>
        <a:prstGeom prst="roundRect">
          <a:avLst>
            <a:gd name="adj" fmla="val 879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128587</xdr:colOff>
      <xdr:row>3</xdr:row>
      <xdr:rowOff>99578</xdr:rowOff>
    </xdr:from>
    <xdr:to>
      <xdr:col>1</xdr:col>
      <xdr:colOff>252413</xdr:colOff>
      <xdr:row>15</xdr:row>
      <xdr:rowOff>223837</xdr:rowOff>
    </xdr:to>
    <xdr:sp macro="" textlink="">
      <xdr:nvSpPr>
        <xdr:cNvPr id="6" name="Rectangle: Rounded Corners 5">
          <a:extLst>
            <a:ext uri="{FF2B5EF4-FFF2-40B4-BE49-F238E27FC236}">
              <a16:creationId xmlns:a16="http://schemas.microsoft.com/office/drawing/2014/main" id="{6E321147-184E-36AB-B810-A7A89BF150ED}"/>
            </a:ext>
          </a:extLst>
        </xdr:cNvPr>
        <xdr:cNvSpPr/>
      </xdr:nvSpPr>
      <xdr:spPr>
        <a:xfrm>
          <a:off x="128587" y="642503"/>
          <a:ext cx="733426" cy="229595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290191</xdr:colOff>
      <xdr:row>3</xdr:row>
      <xdr:rowOff>84587</xdr:rowOff>
    </xdr:from>
    <xdr:to>
      <xdr:col>3</xdr:col>
      <xdr:colOff>256070</xdr:colOff>
      <xdr:row>7</xdr:row>
      <xdr:rowOff>122789</xdr:rowOff>
    </xdr:to>
    <xdr:sp macro="" textlink="">
      <xdr:nvSpPr>
        <xdr:cNvPr id="7" name="Rectangle: Rounded Corners 6">
          <a:extLst>
            <a:ext uri="{FF2B5EF4-FFF2-40B4-BE49-F238E27FC236}">
              <a16:creationId xmlns:a16="http://schemas.microsoft.com/office/drawing/2014/main" id="{C709C43A-CB0C-BDE0-0340-DE03AE523424}"/>
            </a:ext>
          </a:extLst>
        </xdr:cNvPr>
        <xdr:cNvSpPr/>
      </xdr:nvSpPr>
      <xdr:spPr>
        <a:xfrm>
          <a:off x="899791" y="627512"/>
          <a:ext cx="1185079" cy="762102"/>
        </a:xfrm>
        <a:prstGeom prst="roundRect">
          <a:avLst>
            <a:gd name="adj" fmla="val 828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301199</xdr:colOff>
      <xdr:row>3</xdr:row>
      <xdr:rowOff>84587</xdr:rowOff>
    </xdr:from>
    <xdr:to>
      <xdr:col>5</xdr:col>
      <xdr:colOff>267078</xdr:colOff>
      <xdr:row>7</xdr:row>
      <xdr:rowOff>122789</xdr:rowOff>
    </xdr:to>
    <xdr:sp macro="" textlink="">
      <xdr:nvSpPr>
        <xdr:cNvPr id="11" name="Rectangle: Rounded Corners 10">
          <a:extLst>
            <a:ext uri="{FF2B5EF4-FFF2-40B4-BE49-F238E27FC236}">
              <a16:creationId xmlns:a16="http://schemas.microsoft.com/office/drawing/2014/main" id="{14134D12-83BF-98DB-D2A3-87342B51AD92}"/>
            </a:ext>
          </a:extLst>
        </xdr:cNvPr>
        <xdr:cNvSpPr/>
      </xdr:nvSpPr>
      <xdr:spPr>
        <a:xfrm>
          <a:off x="2129999" y="627512"/>
          <a:ext cx="1185079" cy="762102"/>
        </a:xfrm>
        <a:prstGeom prst="roundRect">
          <a:avLst>
            <a:gd name="adj" fmla="val 828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312205</xdr:colOff>
      <xdr:row>3</xdr:row>
      <xdr:rowOff>75683</xdr:rowOff>
    </xdr:from>
    <xdr:to>
      <xdr:col>7</xdr:col>
      <xdr:colOff>265060</xdr:colOff>
      <xdr:row>7</xdr:row>
      <xdr:rowOff>113885</xdr:rowOff>
    </xdr:to>
    <xdr:sp macro="" textlink="">
      <xdr:nvSpPr>
        <xdr:cNvPr id="12" name="Rectangle: Rounded Corners 11">
          <a:extLst>
            <a:ext uri="{FF2B5EF4-FFF2-40B4-BE49-F238E27FC236}">
              <a16:creationId xmlns:a16="http://schemas.microsoft.com/office/drawing/2014/main" id="{9EFD8DAC-B560-050D-81A8-AB7A02C3F836}"/>
            </a:ext>
          </a:extLst>
        </xdr:cNvPr>
        <xdr:cNvSpPr/>
      </xdr:nvSpPr>
      <xdr:spPr>
        <a:xfrm>
          <a:off x="3360205" y="618608"/>
          <a:ext cx="1186343" cy="762102"/>
        </a:xfrm>
        <a:prstGeom prst="roundRect">
          <a:avLst>
            <a:gd name="adj" fmla="val 828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290512</xdr:colOff>
      <xdr:row>11</xdr:row>
      <xdr:rowOff>51954</xdr:rowOff>
    </xdr:from>
    <xdr:to>
      <xdr:col>7</xdr:col>
      <xdr:colOff>281419</xdr:colOff>
      <xdr:row>15</xdr:row>
      <xdr:rowOff>228599</xdr:rowOff>
    </xdr:to>
    <xdr:sp macro="" textlink="">
      <xdr:nvSpPr>
        <xdr:cNvPr id="16" name="Rectangle: Rounded Corners 15">
          <a:extLst>
            <a:ext uri="{FF2B5EF4-FFF2-40B4-BE49-F238E27FC236}">
              <a16:creationId xmlns:a16="http://schemas.microsoft.com/office/drawing/2014/main" id="{DD4271BC-7F91-F97C-DE4B-4104EA40D44E}"/>
            </a:ext>
          </a:extLst>
        </xdr:cNvPr>
        <xdr:cNvSpPr/>
      </xdr:nvSpPr>
      <xdr:spPr>
        <a:xfrm>
          <a:off x="900112" y="2042679"/>
          <a:ext cx="3662795" cy="900545"/>
        </a:xfrm>
        <a:prstGeom prst="roundRect">
          <a:avLst>
            <a:gd name="adj" fmla="val 828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280988</xdr:colOff>
      <xdr:row>8</xdr:row>
      <xdr:rowOff>9525</xdr:rowOff>
    </xdr:from>
    <xdr:to>
      <xdr:col>7</xdr:col>
      <xdr:colOff>271462</xdr:colOff>
      <xdr:row>10</xdr:row>
      <xdr:rowOff>171450</xdr:rowOff>
    </xdr:to>
    <xdr:sp macro="" textlink="">
      <xdr:nvSpPr>
        <xdr:cNvPr id="17" name="Rectangle: Rounded Corners 16">
          <a:extLst>
            <a:ext uri="{FF2B5EF4-FFF2-40B4-BE49-F238E27FC236}">
              <a16:creationId xmlns:a16="http://schemas.microsoft.com/office/drawing/2014/main" id="{21A6DEED-6386-84B6-4BAF-FDFB0142C280}"/>
            </a:ext>
          </a:extLst>
        </xdr:cNvPr>
        <xdr:cNvSpPr/>
      </xdr:nvSpPr>
      <xdr:spPr>
        <a:xfrm>
          <a:off x="890588" y="1457325"/>
          <a:ext cx="3662362" cy="523875"/>
        </a:xfrm>
        <a:prstGeom prst="roundRect">
          <a:avLst>
            <a:gd name="adj" fmla="val 1340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341603</xdr:colOff>
      <xdr:row>6</xdr:row>
      <xdr:rowOff>138114</xdr:rowOff>
    </xdr:from>
    <xdr:to>
      <xdr:col>11</xdr:col>
      <xdr:colOff>238125</xdr:colOff>
      <xdr:row>15</xdr:row>
      <xdr:rowOff>238125</xdr:rowOff>
    </xdr:to>
    <xdr:sp macro="" textlink="">
      <xdr:nvSpPr>
        <xdr:cNvPr id="26" name="Rectangle: Rounded Corners 25">
          <a:extLst>
            <a:ext uri="{FF2B5EF4-FFF2-40B4-BE49-F238E27FC236}">
              <a16:creationId xmlns:a16="http://schemas.microsoft.com/office/drawing/2014/main" id="{F2D65A5A-B42E-695C-B226-9850CA151AA2}"/>
            </a:ext>
          </a:extLst>
        </xdr:cNvPr>
        <xdr:cNvSpPr/>
      </xdr:nvSpPr>
      <xdr:spPr>
        <a:xfrm>
          <a:off x="4623091" y="1223964"/>
          <a:ext cx="2334922" cy="1728786"/>
        </a:xfrm>
        <a:prstGeom prst="roundRect">
          <a:avLst>
            <a:gd name="adj" fmla="val 879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319088</xdr:colOff>
      <xdr:row>1</xdr:row>
      <xdr:rowOff>19050</xdr:rowOff>
    </xdr:from>
    <xdr:to>
      <xdr:col>5</xdr:col>
      <xdr:colOff>595314</xdr:colOff>
      <xdr:row>2</xdr:row>
      <xdr:rowOff>85726</xdr:rowOff>
    </xdr:to>
    <xdr:sp macro="" textlink="">
      <xdr:nvSpPr>
        <xdr:cNvPr id="29" name="TextBox 28">
          <a:extLst>
            <a:ext uri="{FF2B5EF4-FFF2-40B4-BE49-F238E27FC236}">
              <a16:creationId xmlns:a16="http://schemas.microsoft.com/office/drawing/2014/main" id="{C2BF042F-62DB-A209-1B73-5CE06E181E1D}"/>
            </a:ext>
          </a:extLst>
        </xdr:cNvPr>
        <xdr:cNvSpPr txBox="1"/>
      </xdr:nvSpPr>
      <xdr:spPr>
        <a:xfrm>
          <a:off x="928688" y="200025"/>
          <a:ext cx="2714626"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Hospital</a:t>
          </a:r>
          <a:r>
            <a:rPr lang="en-IN" sz="1200" b="1" baseline="0"/>
            <a:t> Emergency Room Dashboard</a:t>
          </a:r>
          <a:endParaRPr lang="en-IN" sz="1200" b="1"/>
        </a:p>
      </xdr:txBody>
    </xdr:sp>
    <xdr:clientData/>
  </xdr:twoCellAnchor>
  <xdr:twoCellAnchor editAs="oneCell">
    <xdr:from>
      <xdr:col>0</xdr:col>
      <xdr:colOff>223838</xdr:colOff>
      <xdr:row>0</xdr:row>
      <xdr:rowOff>119063</xdr:rowOff>
    </xdr:from>
    <xdr:to>
      <xdr:col>1</xdr:col>
      <xdr:colOff>142875</xdr:colOff>
      <xdr:row>3</xdr:row>
      <xdr:rowOff>9526</xdr:rowOff>
    </xdr:to>
    <xdr:pic>
      <xdr:nvPicPr>
        <xdr:cNvPr id="31" name="Picture 30">
          <a:extLst>
            <a:ext uri="{FF2B5EF4-FFF2-40B4-BE49-F238E27FC236}">
              <a16:creationId xmlns:a16="http://schemas.microsoft.com/office/drawing/2014/main" id="{B236A228-27F5-5A89-9A99-4B8A62DB88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431" t="8491" r="21430" b="5661"/>
        <a:stretch>
          <a:fillRect/>
        </a:stretch>
      </xdr:blipFill>
      <xdr:spPr>
        <a:xfrm>
          <a:off x="223838" y="119063"/>
          <a:ext cx="528637" cy="433388"/>
        </a:xfrm>
        <a:prstGeom prst="rect">
          <a:avLst/>
        </a:prstGeom>
      </xdr:spPr>
    </xdr:pic>
    <xdr:clientData/>
  </xdr:twoCellAnchor>
  <xdr:twoCellAnchor editAs="absolute">
    <xdr:from>
      <xdr:col>2</xdr:col>
      <xdr:colOff>252412</xdr:colOff>
      <xdr:row>2</xdr:row>
      <xdr:rowOff>4764</xdr:rowOff>
    </xdr:from>
    <xdr:to>
      <xdr:col>4</xdr:col>
      <xdr:colOff>33337</xdr:colOff>
      <xdr:row>3</xdr:row>
      <xdr:rowOff>1</xdr:rowOff>
    </xdr:to>
    <xdr:sp macro="" textlink="">
      <xdr:nvSpPr>
        <xdr:cNvPr id="32" name="TextBox 31">
          <a:extLst>
            <a:ext uri="{FF2B5EF4-FFF2-40B4-BE49-F238E27FC236}">
              <a16:creationId xmlns:a16="http://schemas.microsoft.com/office/drawing/2014/main" id="{FDA9571A-BE79-E4FD-B65B-F7B6DCA9D5F2}"/>
            </a:ext>
          </a:extLst>
        </xdr:cNvPr>
        <xdr:cNvSpPr txBox="1"/>
      </xdr:nvSpPr>
      <xdr:spPr>
        <a:xfrm>
          <a:off x="1471612" y="366714"/>
          <a:ext cx="1000125" cy="17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a:t>Monthly</a:t>
          </a:r>
          <a:r>
            <a:rPr lang="en-IN" sz="1200" b="0" baseline="0"/>
            <a:t> Report </a:t>
          </a:r>
          <a:endParaRPr lang="en-IN" sz="1200" b="0"/>
        </a:p>
      </xdr:txBody>
    </xdr:sp>
    <xdr:clientData/>
  </xdr:twoCellAnchor>
  <xdr:twoCellAnchor editAs="absolute">
    <xdr:from>
      <xdr:col>1</xdr:col>
      <xdr:colOff>309562</xdr:colOff>
      <xdr:row>4</xdr:row>
      <xdr:rowOff>157164</xdr:rowOff>
    </xdr:from>
    <xdr:to>
      <xdr:col>3</xdr:col>
      <xdr:colOff>314324</xdr:colOff>
      <xdr:row>6</xdr:row>
      <xdr:rowOff>4764</xdr:rowOff>
    </xdr:to>
    <xdr:sp macro="" textlink="">
      <xdr:nvSpPr>
        <xdr:cNvPr id="33" name="TextBox 32">
          <a:extLst>
            <a:ext uri="{FF2B5EF4-FFF2-40B4-BE49-F238E27FC236}">
              <a16:creationId xmlns:a16="http://schemas.microsoft.com/office/drawing/2014/main" id="{91A0403A-9155-B649-EBF1-5F2A9841D4C9}"/>
            </a:ext>
          </a:extLst>
        </xdr:cNvPr>
        <xdr:cNvSpPr txBox="1"/>
      </xdr:nvSpPr>
      <xdr:spPr>
        <a:xfrm>
          <a:off x="919162" y="881064"/>
          <a:ext cx="1223962"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         </a:t>
          </a:r>
          <a:r>
            <a:rPr lang="en-IN" sz="800" b="1"/>
            <a:t>No.</a:t>
          </a:r>
          <a:r>
            <a:rPr lang="en-IN" sz="800" b="1" baseline="0"/>
            <a:t> of Patients</a:t>
          </a:r>
          <a:endParaRPr lang="en-IN" sz="800" b="1"/>
        </a:p>
      </xdr:txBody>
    </xdr:sp>
    <xdr:clientData/>
  </xdr:twoCellAnchor>
  <xdr:twoCellAnchor editAs="absolute">
    <xdr:from>
      <xdr:col>1</xdr:col>
      <xdr:colOff>304799</xdr:colOff>
      <xdr:row>4</xdr:row>
      <xdr:rowOff>9526</xdr:rowOff>
    </xdr:from>
    <xdr:to>
      <xdr:col>3</xdr:col>
      <xdr:colOff>295274</xdr:colOff>
      <xdr:row>5</xdr:row>
      <xdr:rowOff>19051</xdr:rowOff>
    </xdr:to>
    <xdr:sp macro="" textlink="'Pivot Report'!A5">
      <xdr:nvSpPr>
        <xdr:cNvPr id="35" name="TextBox 34">
          <a:extLst>
            <a:ext uri="{FF2B5EF4-FFF2-40B4-BE49-F238E27FC236}">
              <a16:creationId xmlns:a16="http://schemas.microsoft.com/office/drawing/2014/main" id="{84AB7FEC-E627-1CEB-4928-94082E6AA3F7}"/>
            </a:ext>
          </a:extLst>
        </xdr:cNvPr>
        <xdr:cNvSpPr txBox="1"/>
      </xdr:nvSpPr>
      <xdr:spPr>
        <a:xfrm>
          <a:off x="914399" y="733426"/>
          <a:ext cx="12096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1" i="0" u="none" strike="noStrike" baseline="0">
              <a:solidFill>
                <a:srgbClr val="000000"/>
              </a:solidFill>
              <a:latin typeface="Aptos Narrow"/>
            </a:rPr>
            <a:t>                  </a:t>
          </a:r>
          <a:fld id="{4BD5AE4D-DD55-4A5D-81A1-E8BC3C1AF77F}" type="TxLink">
            <a:rPr lang="en-US" sz="1100" b="1" i="0" u="none" strike="noStrike" baseline="0">
              <a:solidFill>
                <a:srgbClr val="000000"/>
              </a:solidFill>
              <a:latin typeface="Aptos Narrow"/>
            </a:rPr>
            <a:pPr/>
            <a:t>513</a:t>
          </a:fld>
          <a:endParaRPr lang="en-IN" sz="1200" b="1"/>
        </a:p>
      </xdr:txBody>
    </xdr:sp>
    <xdr:clientData/>
  </xdr:twoCellAnchor>
  <xdr:twoCellAnchor editAs="absolute">
    <xdr:from>
      <xdr:col>3</xdr:col>
      <xdr:colOff>328613</xdr:colOff>
      <xdr:row>4</xdr:row>
      <xdr:rowOff>166689</xdr:rowOff>
    </xdr:from>
    <xdr:to>
      <xdr:col>5</xdr:col>
      <xdr:colOff>333375</xdr:colOff>
      <xdr:row>6</xdr:row>
      <xdr:rowOff>14289</xdr:rowOff>
    </xdr:to>
    <xdr:sp macro="" textlink="">
      <xdr:nvSpPr>
        <xdr:cNvPr id="36" name="TextBox 35">
          <a:extLst>
            <a:ext uri="{FF2B5EF4-FFF2-40B4-BE49-F238E27FC236}">
              <a16:creationId xmlns:a16="http://schemas.microsoft.com/office/drawing/2014/main" id="{405CDD15-F222-80FF-0E2B-2F7051BF75DE}"/>
            </a:ext>
          </a:extLst>
        </xdr:cNvPr>
        <xdr:cNvSpPr txBox="1"/>
      </xdr:nvSpPr>
      <xdr:spPr>
        <a:xfrm>
          <a:off x="2157413" y="890589"/>
          <a:ext cx="1223962"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t>        </a:t>
          </a:r>
          <a:r>
            <a:rPr lang="en-IN" sz="800" b="1"/>
            <a:t>Average Wait time</a:t>
          </a:r>
          <a:endParaRPr lang="en-IN" sz="900" b="1"/>
        </a:p>
      </xdr:txBody>
    </xdr:sp>
    <xdr:clientData/>
  </xdr:twoCellAnchor>
  <xdr:twoCellAnchor editAs="absolute">
    <xdr:from>
      <xdr:col>3</xdr:col>
      <xdr:colOff>371476</xdr:colOff>
      <xdr:row>3</xdr:row>
      <xdr:rowOff>161926</xdr:rowOff>
    </xdr:from>
    <xdr:to>
      <xdr:col>5</xdr:col>
      <xdr:colOff>361951</xdr:colOff>
      <xdr:row>4</xdr:row>
      <xdr:rowOff>171451</xdr:rowOff>
    </xdr:to>
    <xdr:sp macro="" textlink="'Pivot Report'!A9">
      <xdr:nvSpPr>
        <xdr:cNvPr id="37" name="TextBox 36">
          <a:extLst>
            <a:ext uri="{FF2B5EF4-FFF2-40B4-BE49-F238E27FC236}">
              <a16:creationId xmlns:a16="http://schemas.microsoft.com/office/drawing/2014/main" id="{02D3C37E-719B-BC1B-07C1-645C0FCC21A8}"/>
            </a:ext>
          </a:extLst>
        </xdr:cNvPr>
        <xdr:cNvSpPr txBox="1"/>
      </xdr:nvSpPr>
      <xdr:spPr>
        <a:xfrm>
          <a:off x="2200276" y="704851"/>
          <a:ext cx="12096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1" i="0" u="none" strike="noStrike" baseline="0">
              <a:solidFill>
                <a:srgbClr val="000000"/>
              </a:solidFill>
              <a:latin typeface="Aptos Narrow"/>
            </a:rPr>
            <a:t>               </a:t>
          </a:r>
          <a:fld id="{7383D6D4-A2D7-49C0-9FE9-23A6EECADCB7}" type="TxLink">
            <a:rPr lang="en-US" sz="1100" b="1" i="0" u="none" strike="noStrike" baseline="0">
              <a:solidFill>
                <a:srgbClr val="000000"/>
              </a:solidFill>
              <a:latin typeface="Aptos Narrow"/>
            </a:rPr>
            <a:pPr/>
            <a:t>36.32</a:t>
          </a:fld>
          <a:endParaRPr lang="en-IN" sz="1200" b="1"/>
        </a:p>
      </xdr:txBody>
    </xdr:sp>
    <xdr:clientData/>
  </xdr:twoCellAnchor>
  <xdr:twoCellAnchor editAs="absolute">
    <xdr:from>
      <xdr:col>5</xdr:col>
      <xdr:colOff>261939</xdr:colOff>
      <xdr:row>4</xdr:row>
      <xdr:rowOff>128588</xdr:rowOff>
    </xdr:from>
    <xdr:to>
      <xdr:col>7</xdr:col>
      <xdr:colOff>252413</xdr:colOff>
      <xdr:row>5</xdr:row>
      <xdr:rowOff>157163</xdr:rowOff>
    </xdr:to>
    <xdr:sp macro="" textlink="">
      <xdr:nvSpPr>
        <xdr:cNvPr id="38" name="TextBox 37">
          <a:extLst>
            <a:ext uri="{FF2B5EF4-FFF2-40B4-BE49-F238E27FC236}">
              <a16:creationId xmlns:a16="http://schemas.microsoft.com/office/drawing/2014/main" id="{A190148A-901D-A406-354B-DD174B8DE35A}"/>
            </a:ext>
          </a:extLst>
        </xdr:cNvPr>
        <xdr:cNvSpPr txBox="1"/>
      </xdr:nvSpPr>
      <xdr:spPr>
        <a:xfrm>
          <a:off x="3309939" y="852488"/>
          <a:ext cx="1223962"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   </a:t>
          </a:r>
          <a:r>
            <a:rPr lang="en-IN" sz="800" b="1"/>
            <a:t>Patient</a:t>
          </a:r>
          <a:r>
            <a:rPr lang="en-IN" sz="800" b="1" baseline="0"/>
            <a:t> </a:t>
          </a:r>
          <a:r>
            <a:rPr lang="en-IN" sz="800" b="1"/>
            <a:t>Satisfaction Score</a:t>
          </a:r>
          <a:endParaRPr lang="en-IN" sz="1200" b="1"/>
        </a:p>
      </xdr:txBody>
    </xdr:sp>
    <xdr:clientData/>
  </xdr:twoCellAnchor>
  <xdr:twoCellAnchor editAs="absolute">
    <xdr:from>
      <xdr:col>5</xdr:col>
      <xdr:colOff>333375</xdr:colOff>
      <xdr:row>3</xdr:row>
      <xdr:rowOff>142876</xdr:rowOff>
    </xdr:from>
    <xdr:to>
      <xdr:col>7</xdr:col>
      <xdr:colOff>309562</xdr:colOff>
      <xdr:row>4</xdr:row>
      <xdr:rowOff>152401</xdr:rowOff>
    </xdr:to>
    <xdr:sp macro="" textlink="'Pivot Report'!A13">
      <xdr:nvSpPr>
        <xdr:cNvPr id="39" name="TextBox 38">
          <a:extLst>
            <a:ext uri="{FF2B5EF4-FFF2-40B4-BE49-F238E27FC236}">
              <a16:creationId xmlns:a16="http://schemas.microsoft.com/office/drawing/2014/main" id="{28C017C3-05F8-92C7-ECDB-EBAA493011ED}"/>
            </a:ext>
          </a:extLst>
        </xdr:cNvPr>
        <xdr:cNvSpPr txBox="1"/>
      </xdr:nvSpPr>
      <xdr:spPr>
        <a:xfrm>
          <a:off x="3381375" y="685801"/>
          <a:ext cx="12096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1" i="0" u="none" strike="noStrike" baseline="0">
              <a:solidFill>
                <a:srgbClr val="000000"/>
              </a:solidFill>
              <a:latin typeface="Aptos Narrow"/>
            </a:rPr>
            <a:t>                </a:t>
          </a:r>
          <a:fld id="{C3D6A832-9752-4CF7-A4AF-71E80113C473}" type="TxLink">
            <a:rPr lang="en-US" sz="1100" b="1" i="0" u="none" strike="noStrike" baseline="0">
              <a:solidFill>
                <a:srgbClr val="000000"/>
              </a:solidFill>
              <a:latin typeface="Aptos Narrow"/>
            </a:rPr>
            <a:pPr/>
            <a:t>4.96</a:t>
          </a:fld>
          <a:endParaRPr lang="en-IN" sz="1200" b="1"/>
        </a:p>
      </xdr:txBody>
    </xdr:sp>
    <xdr:clientData/>
  </xdr:twoCellAnchor>
  <xdr:twoCellAnchor editAs="oneCell">
    <xdr:from>
      <xdr:col>2</xdr:col>
      <xdr:colOff>585787</xdr:colOff>
      <xdr:row>3</xdr:row>
      <xdr:rowOff>109537</xdr:rowOff>
    </xdr:from>
    <xdr:to>
      <xdr:col>3</xdr:col>
      <xdr:colOff>233362</xdr:colOff>
      <xdr:row>4</xdr:row>
      <xdr:rowOff>174794</xdr:rowOff>
    </xdr:to>
    <xdr:pic>
      <xdr:nvPicPr>
        <xdr:cNvPr id="41" name="Picture 40">
          <a:extLst>
            <a:ext uri="{FF2B5EF4-FFF2-40B4-BE49-F238E27FC236}">
              <a16:creationId xmlns:a16="http://schemas.microsoft.com/office/drawing/2014/main" id="{588FA68B-1562-18AD-CCBA-62E3673146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4987" y="652462"/>
          <a:ext cx="257175" cy="246232"/>
        </a:xfrm>
        <a:prstGeom prst="rect">
          <a:avLst/>
        </a:prstGeom>
      </xdr:spPr>
    </xdr:pic>
    <xdr:clientData/>
  </xdr:twoCellAnchor>
  <xdr:twoCellAnchor editAs="oneCell">
    <xdr:from>
      <xdr:col>4</xdr:col>
      <xdr:colOff>595313</xdr:colOff>
      <xdr:row>3</xdr:row>
      <xdr:rowOff>95251</xdr:rowOff>
    </xdr:from>
    <xdr:to>
      <xdr:col>5</xdr:col>
      <xdr:colOff>245624</xdr:colOff>
      <xdr:row>5</xdr:row>
      <xdr:rowOff>4763</xdr:rowOff>
    </xdr:to>
    <xdr:pic>
      <xdr:nvPicPr>
        <xdr:cNvPr id="43" name="Picture 42">
          <a:extLst>
            <a:ext uri="{FF2B5EF4-FFF2-40B4-BE49-F238E27FC236}">
              <a16:creationId xmlns:a16="http://schemas.microsoft.com/office/drawing/2014/main" id="{70C5579A-33BD-82DB-3023-EEC22B04B8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3713" y="638176"/>
          <a:ext cx="259911" cy="271462"/>
        </a:xfrm>
        <a:prstGeom prst="rect">
          <a:avLst/>
        </a:prstGeom>
      </xdr:spPr>
    </xdr:pic>
    <xdr:clientData/>
  </xdr:twoCellAnchor>
  <xdr:twoCellAnchor editAs="oneCell">
    <xdr:from>
      <xdr:col>6</xdr:col>
      <xdr:colOff>541021</xdr:colOff>
      <xdr:row>3</xdr:row>
      <xdr:rowOff>100014</xdr:rowOff>
    </xdr:from>
    <xdr:to>
      <xdr:col>7</xdr:col>
      <xdr:colOff>214311</xdr:colOff>
      <xdr:row>4</xdr:row>
      <xdr:rowOff>147637</xdr:rowOff>
    </xdr:to>
    <xdr:pic>
      <xdr:nvPicPr>
        <xdr:cNvPr id="45" name="Picture 44">
          <a:extLst>
            <a:ext uri="{FF2B5EF4-FFF2-40B4-BE49-F238E27FC236}">
              <a16:creationId xmlns:a16="http://schemas.microsoft.com/office/drawing/2014/main" id="{B6DD8FFA-DD04-C3D6-20F7-91A7B22004D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198621" y="642939"/>
          <a:ext cx="297178" cy="228598"/>
        </a:xfrm>
        <a:prstGeom prst="rect">
          <a:avLst/>
        </a:prstGeom>
      </xdr:spPr>
    </xdr:pic>
    <xdr:clientData/>
  </xdr:twoCellAnchor>
  <xdr:twoCellAnchor editAs="oneCell">
    <xdr:from>
      <xdr:col>0</xdr:col>
      <xdr:colOff>157163</xdr:colOff>
      <xdr:row>3</xdr:row>
      <xdr:rowOff>133350</xdr:rowOff>
    </xdr:from>
    <xdr:to>
      <xdr:col>1</xdr:col>
      <xdr:colOff>195563</xdr:colOff>
      <xdr:row>15</xdr:row>
      <xdr:rowOff>180976</xdr:rowOff>
    </xdr:to>
    <mc:AlternateContent xmlns:mc="http://schemas.openxmlformats.org/markup-compatibility/2006" xmlns:a14="http://schemas.microsoft.com/office/drawing/2010/main">
      <mc:Choice Requires="a14">
        <xdr:graphicFrame macro="">
          <xdr:nvGraphicFramePr>
            <xdr:cNvPr id="46" name="Date (Month)">
              <a:extLst>
                <a:ext uri="{FF2B5EF4-FFF2-40B4-BE49-F238E27FC236}">
                  <a16:creationId xmlns:a16="http://schemas.microsoft.com/office/drawing/2014/main" id="{3BF68D00-3F2A-47FC-B819-1BAE1F086CF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7163" y="676275"/>
              <a:ext cx="648000" cy="2219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295276</xdr:colOff>
      <xdr:row>4</xdr:row>
      <xdr:rowOff>85726</xdr:rowOff>
    </xdr:from>
    <xdr:to>
      <xdr:col>3</xdr:col>
      <xdr:colOff>252414</xdr:colOff>
      <xdr:row>8</xdr:row>
      <xdr:rowOff>66676</xdr:rowOff>
    </xdr:to>
    <xdr:graphicFrame macro="">
      <xdr:nvGraphicFramePr>
        <xdr:cNvPr id="50" name="Chart 49">
          <a:hlinkClick xmlns:r="http://schemas.openxmlformats.org/officeDocument/2006/relationships" r:id="rId5"/>
          <a:extLst>
            <a:ext uri="{FF2B5EF4-FFF2-40B4-BE49-F238E27FC236}">
              <a16:creationId xmlns:a16="http://schemas.microsoft.com/office/drawing/2014/main" id="{35D0ECD3-48DE-C336-EB95-436B13AD2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323850</xdr:colOff>
      <xdr:row>5</xdr:row>
      <xdr:rowOff>28575</xdr:rowOff>
    </xdr:from>
    <xdr:to>
      <xdr:col>5</xdr:col>
      <xdr:colOff>271464</xdr:colOff>
      <xdr:row>7</xdr:row>
      <xdr:rowOff>123824</xdr:rowOff>
    </xdr:to>
    <xdr:graphicFrame macro="">
      <xdr:nvGraphicFramePr>
        <xdr:cNvPr id="51" name="Chart 50">
          <a:hlinkClick xmlns:r="http://schemas.openxmlformats.org/officeDocument/2006/relationships" r:id="rId7"/>
          <a:extLst>
            <a:ext uri="{FF2B5EF4-FFF2-40B4-BE49-F238E27FC236}">
              <a16:creationId xmlns:a16="http://schemas.microsoft.com/office/drawing/2014/main" id="{7470485A-DC6C-4EEC-877C-8F622ECCD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323851</xdr:colOff>
      <xdr:row>5</xdr:row>
      <xdr:rowOff>14288</xdr:rowOff>
    </xdr:from>
    <xdr:to>
      <xdr:col>7</xdr:col>
      <xdr:colOff>261937</xdr:colOff>
      <xdr:row>7</xdr:row>
      <xdr:rowOff>90487</xdr:rowOff>
    </xdr:to>
    <xdr:graphicFrame macro="">
      <xdr:nvGraphicFramePr>
        <xdr:cNvPr id="52" name="Chart 51">
          <a:hlinkClick xmlns:r="http://schemas.openxmlformats.org/officeDocument/2006/relationships" r:id="rId9"/>
          <a:extLst>
            <a:ext uri="{FF2B5EF4-FFF2-40B4-BE49-F238E27FC236}">
              <a16:creationId xmlns:a16="http://schemas.microsoft.com/office/drawing/2014/main" id="{F93347A4-C059-4A41-A8FB-8FC87B000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280988</xdr:colOff>
          <xdr:row>7</xdr:row>
          <xdr:rowOff>176213</xdr:rowOff>
        </xdr:from>
        <xdr:to>
          <xdr:col>7</xdr:col>
          <xdr:colOff>276225</xdr:colOff>
          <xdr:row>10</xdr:row>
          <xdr:rowOff>161925</xdr:rowOff>
        </xdr:to>
        <xdr:pic>
          <xdr:nvPicPr>
            <xdr:cNvPr id="23" name="Picture 22">
              <a:extLst>
                <a:ext uri="{FF2B5EF4-FFF2-40B4-BE49-F238E27FC236}">
                  <a16:creationId xmlns:a16="http://schemas.microsoft.com/office/drawing/2014/main" id="{B442ABF5-6931-6804-F5C9-F076A561C7F9}"/>
                </a:ext>
              </a:extLst>
            </xdr:cNvPr>
            <xdr:cNvPicPr>
              <a:picLocks noChangeAspect="1" noChangeArrowheads="1"/>
              <a:extLst>
                <a:ext uri="{84589F7E-364E-4C9E-8A38-B11213B215E9}">
                  <a14:cameraTool cellRange="'Pivot Report'!$A$46:$D$48" spid="_x0000_s1055"/>
                </a:ext>
              </a:extLst>
            </xdr:cNvPicPr>
          </xdr:nvPicPr>
          <xdr:blipFill>
            <a:blip xmlns:r="http://schemas.openxmlformats.org/officeDocument/2006/relationships" r:embed="rId11"/>
            <a:srcRect/>
            <a:stretch>
              <a:fillRect/>
            </a:stretch>
          </xdr:blipFill>
          <xdr:spPr bwMode="auto">
            <a:xfrm>
              <a:off x="890588" y="1443038"/>
              <a:ext cx="3667125" cy="52863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323850</xdr:colOff>
      <xdr:row>11</xdr:row>
      <xdr:rowOff>85725</xdr:rowOff>
    </xdr:from>
    <xdr:to>
      <xdr:col>7</xdr:col>
      <xdr:colOff>252411</xdr:colOff>
      <xdr:row>15</xdr:row>
      <xdr:rowOff>204788</xdr:rowOff>
    </xdr:to>
    <xdr:graphicFrame macro="">
      <xdr:nvGraphicFramePr>
        <xdr:cNvPr id="25" name="Chart 24">
          <a:extLst>
            <a:ext uri="{FF2B5EF4-FFF2-40B4-BE49-F238E27FC236}">
              <a16:creationId xmlns:a16="http://schemas.microsoft.com/office/drawing/2014/main" id="{4A7BB86F-8F61-4E5F-A9CE-B0EC9B1B3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xdr:col>
      <xdr:colOff>433387</xdr:colOff>
      <xdr:row>15</xdr:row>
      <xdr:rowOff>9525</xdr:rowOff>
    </xdr:from>
    <xdr:to>
      <xdr:col>5</xdr:col>
      <xdr:colOff>180974</xdr:colOff>
      <xdr:row>15</xdr:row>
      <xdr:rowOff>209550</xdr:rowOff>
    </xdr:to>
    <xdr:sp macro="" textlink="">
      <xdr:nvSpPr>
        <xdr:cNvPr id="27" name="TextBox 26">
          <a:extLst>
            <a:ext uri="{FF2B5EF4-FFF2-40B4-BE49-F238E27FC236}">
              <a16:creationId xmlns:a16="http://schemas.microsoft.com/office/drawing/2014/main" id="{43B372FE-39F1-4F7B-9DA8-AEC97CA49BC5}"/>
            </a:ext>
          </a:extLst>
        </xdr:cNvPr>
        <xdr:cNvSpPr txBox="1"/>
      </xdr:nvSpPr>
      <xdr:spPr>
        <a:xfrm>
          <a:off x="1652587" y="2724150"/>
          <a:ext cx="1576387"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         </a:t>
          </a:r>
          <a:r>
            <a:rPr lang="en-IN" sz="800" b="1"/>
            <a:t>No.</a:t>
          </a:r>
          <a:r>
            <a:rPr lang="en-IN" sz="800" b="1" baseline="0"/>
            <a:t> of Patients by Age Group</a:t>
          </a:r>
          <a:endParaRPr lang="en-IN" sz="800" b="1"/>
        </a:p>
      </xdr:txBody>
    </xdr:sp>
    <xdr:clientData/>
  </xdr:twoCellAnchor>
  <xdr:twoCellAnchor>
    <xdr:from>
      <xdr:col>7</xdr:col>
      <xdr:colOff>376237</xdr:colOff>
      <xdr:row>0</xdr:row>
      <xdr:rowOff>138113</xdr:rowOff>
    </xdr:from>
    <xdr:to>
      <xdr:col>9</xdr:col>
      <xdr:colOff>233362</xdr:colOff>
      <xdr:row>5</xdr:row>
      <xdr:rowOff>104775</xdr:rowOff>
    </xdr:to>
    <xdr:graphicFrame macro="">
      <xdr:nvGraphicFramePr>
        <xdr:cNvPr id="28" name="Chart 27">
          <a:extLst>
            <a:ext uri="{FF2B5EF4-FFF2-40B4-BE49-F238E27FC236}">
              <a16:creationId xmlns:a16="http://schemas.microsoft.com/office/drawing/2014/main" id="{53278B6A-BAA7-4AB5-96CE-26DEA5F44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438150</xdr:colOff>
      <xdr:row>5</xdr:row>
      <xdr:rowOff>52387</xdr:rowOff>
    </xdr:from>
    <xdr:to>
      <xdr:col>9</xdr:col>
      <xdr:colOff>147638</xdr:colOff>
      <xdr:row>6</xdr:row>
      <xdr:rowOff>71437</xdr:rowOff>
    </xdr:to>
    <xdr:sp macro="" textlink="">
      <xdr:nvSpPr>
        <xdr:cNvPr id="30" name="TextBox 29">
          <a:extLst>
            <a:ext uri="{FF2B5EF4-FFF2-40B4-BE49-F238E27FC236}">
              <a16:creationId xmlns:a16="http://schemas.microsoft.com/office/drawing/2014/main" id="{52BB7608-D576-4AE9-B2F2-E562A1ACA4D7}"/>
            </a:ext>
          </a:extLst>
        </xdr:cNvPr>
        <xdr:cNvSpPr txBox="1"/>
      </xdr:nvSpPr>
      <xdr:spPr>
        <a:xfrm>
          <a:off x="4719638" y="957262"/>
          <a:ext cx="92868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 </a:t>
          </a:r>
          <a:r>
            <a:rPr lang="en-IN" sz="800" b="1" baseline="0"/>
            <a:t>Patient Attend Status</a:t>
          </a:r>
          <a:endParaRPr lang="en-IN" sz="800" b="1"/>
        </a:p>
      </xdr:txBody>
    </xdr:sp>
    <xdr:clientData/>
  </xdr:twoCellAnchor>
  <xdr:twoCellAnchor>
    <xdr:from>
      <xdr:col>9</xdr:col>
      <xdr:colOff>361950</xdr:colOff>
      <xdr:row>0</xdr:row>
      <xdr:rowOff>119063</xdr:rowOff>
    </xdr:from>
    <xdr:to>
      <xdr:col>11</xdr:col>
      <xdr:colOff>180976</xdr:colOff>
      <xdr:row>6</xdr:row>
      <xdr:rowOff>61912</xdr:rowOff>
    </xdr:to>
    <xdr:graphicFrame macro="">
      <xdr:nvGraphicFramePr>
        <xdr:cNvPr id="34" name="Chart 33">
          <a:extLst>
            <a:ext uri="{FF2B5EF4-FFF2-40B4-BE49-F238E27FC236}">
              <a16:creationId xmlns:a16="http://schemas.microsoft.com/office/drawing/2014/main" id="{37C06074-ED76-44BE-82AF-E9DBDE3AA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9</xdr:col>
      <xdr:colOff>442912</xdr:colOff>
      <xdr:row>5</xdr:row>
      <xdr:rowOff>114301</xdr:rowOff>
    </xdr:from>
    <xdr:to>
      <xdr:col>11</xdr:col>
      <xdr:colOff>200026</xdr:colOff>
      <xdr:row>6</xdr:row>
      <xdr:rowOff>90488</xdr:rowOff>
    </xdr:to>
    <xdr:sp macro="" textlink="">
      <xdr:nvSpPr>
        <xdr:cNvPr id="40" name="TextBox 39">
          <a:extLst>
            <a:ext uri="{FF2B5EF4-FFF2-40B4-BE49-F238E27FC236}">
              <a16:creationId xmlns:a16="http://schemas.microsoft.com/office/drawing/2014/main" id="{748E6D35-926B-460D-B8E3-A3CA598D3DF1}"/>
            </a:ext>
          </a:extLst>
        </xdr:cNvPr>
        <xdr:cNvSpPr txBox="1"/>
      </xdr:nvSpPr>
      <xdr:spPr>
        <a:xfrm>
          <a:off x="5943600" y="1019176"/>
          <a:ext cx="976314" cy="15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baseline="0"/>
            <a:t>Gender Wise Analysis</a:t>
          </a:r>
          <a:endParaRPr lang="en-IN" sz="800" b="1"/>
        </a:p>
      </xdr:txBody>
    </xdr:sp>
    <xdr:clientData/>
  </xdr:twoCellAnchor>
  <xdr:twoCellAnchor>
    <xdr:from>
      <xdr:col>7</xdr:col>
      <xdr:colOff>376237</xdr:colOff>
      <xdr:row>7</xdr:row>
      <xdr:rowOff>33338</xdr:rowOff>
    </xdr:from>
    <xdr:to>
      <xdr:col>11</xdr:col>
      <xdr:colOff>190501</xdr:colOff>
      <xdr:row>15</xdr:row>
      <xdr:rowOff>23814</xdr:rowOff>
    </xdr:to>
    <xdr:graphicFrame macro="">
      <xdr:nvGraphicFramePr>
        <xdr:cNvPr id="42" name="Chart 41">
          <a:extLst>
            <a:ext uri="{FF2B5EF4-FFF2-40B4-BE49-F238E27FC236}">
              <a16:creationId xmlns:a16="http://schemas.microsoft.com/office/drawing/2014/main" id="{5DEF9886-F5D7-42B3-BB27-984ECAD7E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57148</xdr:colOff>
      <xdr:row>15</xdr:row>
      <xdr:rowOff>38100</xdr:rowOff>
    </xdr:from>
    <xdr:to>
      <xdr:col>10</xdr:col>
      <xdr:colOff>600075</xdr:colOff>
      <xdr:row>15</xdr:row>
      <xdr:rowOff>195262</xdr:rowOff>
    </xdr:to>
    <xdr:sp macro="" textlink="">
      <xdr:nvSpPr>
        <xdr:cNvPr id="47" name="TextBox 46">
          <a:extLst>
            <a:ext uri="{FF2B5EF4-FFF2-40B4-BE49-F238E27FC236}">
              <a16:creationId xmlns:a16="http://schemas.microsoft.com/office/drawing/2014/main" id="{AEA08C2B-D18E-48FF-AC2F-78A22AFFBE79}"/>
            </a:ext>
          </a:extLst>
        </xdr:cNvPr>
        <xdr:cNvSpPr txBox="1"/>
      </xdr:nvSpPr>
      <xdr:spPr>
        <a:xfrm>
          <a:off x="4948236" y="2752725"/>
          <a:ext cx="1762127" cy="15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baseline="0"/>
            <a:t>No. of Patients by Department  Referral</a:t>
          </a:r>
          <a:endParaRPr lang="en-IN" sz="800" b="1"/>
        </a:p>
      </xdr:txBody>
    </xdr:sp>
    <xdr:clientData/>
  </xdr:twoCellAnchor>
  <xdr:twoCellAnchor editAs="oneCell">
    <xdr:from>
      <xdr:col>6</xdr:col>
      <xdr:colOff>42863</xdr:colOff>
      <xdr:row>0</xdr:row>
      <xdr:rowOff>138112</xdr:rowOff>
    </xdr:from>
    <xdr:to>
      <xdr:col>7</xdr:col>
      <xdr:colOff>233363</xdr:colOff>
      <xdr:row>3</xdr:row>
      <xdr:rowOff>14288</xdr:rowOff>
    </xdr:to>
    <mc:AlternateContent xmlns:mc="http://schemas.openxmlformats.org/markup-compatibility/2006">
      <mc:Choice xmlns:a14="http://schemas.microsoft.com/office/drawing/2010/main" Requires="a14">
        <xdr:graphicFrame macro="">
          <xdr:nvGraphicFramePr>
            <xdr:cNvPr id="48" name="Date (Year)">
              <a:extLst>
                <a:ext uri="{FF2B5EF4-FFF2-40B4-BE49-F238E27FC236}">
                  <a16:creationId xmlns:a16="http://schemas.microsoft.com/office/drawing/2014/main" id="{2D7C16C8-FA50-423B-8537-6C877760789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700463" y="138112"/>
              <a:ext cx="816142" cy="429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1</xdr:row>
      <xdr:rowOff>121920</xdr:rowOff>
    </xdr:from>
    <xdr:to>
      <xdr:col>15</xdr:col>
      <xdr:colOff>297180</xdr:colOff>
      <xdr:row>25</xdr:row>
      <xdr:rowOff>129540</xdr:rowOff>
    </xdr:to>
    <xdr:graphicFrame macro="">
      <xdr:nvGraphicFramePr>
        <xdr:cNvPr id="3" name="Chart 2">
          <a:extLst>
            <a:ext uri="{FF2B5EF4-FFF2-40B4-BE49-F238E27FC236}">
              <a16:creationId xmlns:a16="http://schemas.microsoft.com/office/drawing/2014/main" id="{3AD80C52-A837-4D36-8DD3-57A353D48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0.00542</cdr:x>
      <cdr:y>0.01155</cdr:y>
    </cdr:from>
    <cdr:to>
      <cdr:x>0.05659</cdr:x>
      <cdr:y>0.11727</cdr:y>
    </cdr:to>
    <cdr:sp macro="" textlink="">
      <cdr:nvSpPr>
        <cdr:cNvPr id="3" name="Pentagon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03D3C30-603E-4106-E890-7B057792B912}"/>
            </a:ext>
          </a:extLst>
        </cdr:cNvPr>
        <cdr:cNvSpPr/>
      </cdr:nvSpPr>
      <cdr:spPr>
        <a:xfrm xmlns:a="http://schemas.openxmlformats.org/drawingml/2006/main">
          <a:off x="50800" y="50800"/>
          <a:ext cx="480060" cy="464820"/>
        </a:xfrm>
        <a:prstGeom xmlns:a="http://schemas.openxmlformats.org/drawingml/2006/main" prst="pentagon">
          <a:avLst/>
        </a:prstGeom>
        <a:solidFill xmlns:a="http://schemas.openxmlformats.org/drawingml/2006/main">
          <a:schemeClr val="bg1"/>
        </a:solidFill>
        <a:ln xmlns:a="http://schemas.openxmlformats.org/drawingml/2006/main">
          <a:solidFill>
            <a:schemeClr val="tx1"/>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99060</xdr:colOff>
      <xdr:row>1</xdr:row>
      <xdr:rowOff>60960</xdr:rowOff>
    </xdr:from>
    <xdr:to>
      <xdr:col>16</xdr:col>
      <xdr:colOff>304800</xdr:colOff>
      <xdr:row>25</xdr:row>
      <xdr:rowOff>114300</xdr:rowOff>
    </xdr:to>
    <xdr:graphicFrame macro="">
      <xdr:nvGraphicFramePr>
        <xdr:cNvPr id="2" name="Chart 1">
          <a:extLst>
            <a:ext uri="{FF2B5EF4-FFF2-40B4-BE49-F238E27FC236}">
              <a16:creationId xmlns:a16="http://schemas.microsoft.com/office/drawing/2014/main" id="{B06DF4BE-7DDD-433C-B3EF-DCD3E509F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15240</xdr:colOff>
      <xdr:row>25</xdr:row>
      <xdr:rowOff>99061</xdr:rowOff>
    </xdr:from>
    <xdr:ext cx="9494520" cy="304800"/>
    <xdr:sp macro="" textlink="">
      <xdr:nvSpPr>
        <xdr:cNvPr id="3" name="TextBox 2">
          <a:extLst>
            <a:ext uri="{FF2B5EF4-FFF2-40B4-BE49-F238E27FC236}">
              <a16:creationId xmlns:a16="http://schemas.microsoft.com/office/drawing/2014/main" id="{E3966592-8AB5-8907-4DA1-88EDB217B137}"/>
            </a:ext>
          </a:extLst>
        </xdr:cNvPr>
        <xdr:cNvSpPr txBox="1"/>
      </xdr:nvSpPr>
      <xdr:spPr>
        <a:xfrm>
          <a:off x="624840" y="4671061"/>
          <a:ext cx="94945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effectLst/>
            </a:rPr>
            <a:t>Show a daily trend with an area Chart to spot patterns like busy days or seasonal trends.</a:t>
          </a:r>
          <a:endParaRPr lang="en-IN" sz="1600" b="1">
            <a:effectLst/>
          </a:endParaRPr>
        </a:p>
        <a:p>
          <a:endParaRPr lang="en-IN" sz="1600" b="1"/>
        </a:p>
      </xdr:txBody>
    </xdr:sp>
    <xdr:clientData/>
  </xdr:oneCellAnchor>
</xdr:wsDr>
</file>

<file path=xl/drawings/drawing6.xml><?xml version="1.0" encoding="utf-8"?>
<c:userShapes xmlns:c="http://schemas.openxmlformats.org/drawingml/2006/chart">
  <cdr:relSizeAnchor xmlns:cdr="http://schemas.openxmlformats.org/drawingml/2006/chartDrawing">
    <cdr:from>
      <cdr:x>0.00918</cdr:x>
      <cdr:y>0.01887</cdr:y>
    </cdr:from>
    <cdr:to>
      <cdr:x>0.05738</cdr:x>
      <cdr:y>0.1235</cdr:y>
    </cdr:to>
    <cdr:sp macro="" textlink="">
      <cdr:nvSpPr>
        <cdr:cNvPr id="2" name="Pentagon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D9A444A-E25B-7027-382D-EE28DB661808}"/>
            </a:ext>
          </a:extLst>
        </cdr:cNvPr>
        <cdr:cNvSpPr/>
      </cdr:nvSpPr>
      <cdr:spPr>
        <a:xfrm xmlns:a="http://schemas.openxmlformats.org/drawingml/2006/main">
          <a:off x="91440" y="83820"/>
          <a:ext cx="480060" cy="464820"/>
        </a:xfrm>
        <a:prstGeom xmlns:a="http://schemas.openxmlformats.org/drawingml/2006/main" prst="pentagon">
          <a:avLst/>
        </a:prstGeom>
        <a:solidFill xmlns:a="http://schemas.openxmlformats.org/drawingml/2006/main">
          <a:schemeClr val="bg1"/>
        </a:solidFill>
        <a:ln xmlns:a="http://schemas.openxmlformats.org/drawingml/2006/main">
          <a:solidFill>
            <a:schemeClr val="tx1"/>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403860</xdr:colOff>
      <xdr:row>1</xdr:row>
      <xdr:rowOff>83820</xdr:rowOff>
    </xdr:from>
    <xdr:to>
      <xdr:col>15</xdr:col>
      <xdr:colOff>464820</xdr:colOff>
      <xdr:row>24</xdr:row>
      <xdr:rowOff>53340</xdr:rowOff>
    </xdr:to>
    <xdr:graphicFrame macro="">
      <xdr:nvGraphicFramePr>
        <xdr:cNvPr id="3" name="Chart 2">
          <a:extLst>
            <a:ext uri="{FF2B5EF4-FFF2-40B4-BE49-F238E27FC236}">
              <a16:creationId xmlns:a16="http://schemas.microsoft.com/office/drawing/2014/main" id="{177171D1-9ADB-4B29-92DB-6A5992EB7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0.00552</cdr:x>
      <cdr:y>0.01217</cdr:y>
    </cdr:from>
    <cdr:to>
      <cdr:x>0.05767</cdr:x>
      <cdr:y>0.12348</cdr:y>
    </cdr:to>
    <cdr:sp macro="" textlink="">
      <cdr:nvSpPr>
        <cdr:cNvPr id="4" name="Pentagon 3">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5976834-34FB-001C-0DED-541569F4DF09}"/>
            </a:ext>
          </a:extLst>
        </cdr:cNvPr>
        <cdr:cNvSpPr/>
      </cdr:nvSpPr>
      <cdr:spPr>
        <a:xfrm xmlns:a="http://schemas.openxmlformats.org/drawingml/2006/main">
          <a:off x="50800" y="50800"/>
          <a:ext cx="480060" cy="464820"/>
        </a:xfrm>
        <a:prstGeom xmlns:a="http://schemas.openxmlformats.org/drawingml/2006/main" prst="pentagon">
          <a:avLst/>
        </a:prstGeom>
        <a:solidFill xmlns:a="http://schemas.openxmlformats.org/drawingml/2006/main">
          <a:schemeClr val="bg1"/>
        </a:solidFill>
        <a:ln xmlns:a="http://schemas.openxmlformats.org/drawingml/2006/main">
          <a:solidFill>
            <a:schemeClr val="tx1"/>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0578705" createdVersion="5" refreshedVersion="8" minRefreshableVersion="3" recordCount="0" supportSubquery="1" supportAdvancedDrill="1" xr:uid="{86599F44-8045-4C69-80F0-8F249988DD39}">
  <cacheSource type="external" connectionId="3"/>
  <cacheFields count="4">
    <cacheField name="[Calendar_Table].[Date (Month)].[Date (Month)]" caption="Date (Month)" numFmtId="0" hierarchy="1" level="1">
      <sharedItems count="1">
        <s v="Mar"/>
      </sharedItems>
    </cacheField>
    <cacheField name="[Calenda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0810183" createdVersion="5" refreshedVersion="8" minRefreshableVersion="3" recordCount="0" supportSubquery="1" supportAdvancedDrill="1" xr:uid="{F309D849-BE01-4641-99D8-6BD1D1C771EC}">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138889" createdVersion="5" refreshedVersion="8" minRefreshableVersion="3" recordCount="0" supportSubquery="1" supportAdvancedDrill="1" xr:uid="{56A64730-BE6D-45DB-87EF-F68132C57A64}">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1967591" createdVersion="5" refreshedVersion="8" minRefreshableVersion="3" recordCount="0" supportSubquery="1" supportAdvancedDrill="1" xr:uid="{561210E0-708E-424B-8DE4-EA71AB1103A9}">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2546299" createdVersion="5" refreshedVersion="8" minRefreshableVersion="3" recordCount="0" supportSubquery="1" supportAdvancedDrill="1" xr:uid="{FEB3E732-DA87-41D9-8D24-1B26DE5A7039}">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2893522" createdVersion="5" refreshedVersion="8" minRefreshableVersion="3" recordCount="0" supportSubquery="1" supportAdvancedDrill="1" xr:uid="{C932F5D1-C923-418E-BFDC-9E0277E83DF6}">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3587961" createdVersion="5" refreshedVersion="8" minRefreshableVersion="3" recordCount="0" supportSubquery="1" supportAdvancedDrill="1" xr:uid="{C7F524AB-BB3B-4FDB-BA8C-20B06A8894B2}">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4166669" createdVersion="5" refreshedVersion="8" minRefreshableVersion="3" recordCount="0" supportSubquery="1" supportAdvancedDrill="1" xr:uid="{5C834409-AE57-41DB-A585-A4E60C38DB88}">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474537" createdVersion="5" refreshedVersion="8" minRefreshableVersion="3" recordCount="0" supportSubquery="1" supportAdvancedDrill="1" xr:uid="{D810C2FE-4DE6-47B7-84C4-0F93BAC0DE7A}">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5439816" createdVersion="5" refreshedVersion="8" minRefreshableVersion="3" recordCount="0" supportSubquery="1" supportAdvancedDrill="1" xr:uid="{743D31F1-896B-4255-9000-611F39338519}">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5902778" createdVersion="5" refreshedVersion="8" minRefreshableVersion="3" recordCount="0" supportSubquery="1" supportAdvancedDrill="1" xr:uid="{9DC828CB-D96F-4B34-801A-01690BF47528}">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69406597225" createdVersion="5" refreshedVersion="8" minRefreshableVersion="3" recordCount="0" supportSubquery="1" supportAdvancedDrill="1" xr:uid="{DD214678-6622-4BDA-A537-34D9DD64043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vargaonkar" refreshedDate="46243.758233449073" createdVersion="3" refreshedVersion="8" minRefreshableVersion="3" recordCount="0" supportSubquery="1" supportAdvancedDrill="1" xr:uid="{BD664256-7882-49BF-A33B-07B64A3681BD}">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671647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BEA6F-5E21-45A0-B50D-6C7BF8A15109}" name="PivotTable12" cacheId="898"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18">
  <location ref="G63:G6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78">
      <pivotArea outline="0" collapsedLevelsAreSubtotals="1" fieldPosition="0"/>
    </format>
  </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F52EA6-533A-4A8A-A3A0-190AF1C8F4B4}" name="PivotTable11" cacheId="907"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18">
  <location ref="G51:H6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1">
    <format dxfId="179">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316F0B-E493-45F0-BABF-21EE1AB42320}" name="PivotTable10" cacheId="904"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16">
  <location ref="D58:E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80">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537728-EA5D-45D1-868D-A3903497600E}" name="PivotTable9" cacheId="931"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12">
  <location ref="D51:E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81">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CE4076-F9F7-4C8D-B680-86CFAD0C7706}" name="PivotTable8" cacheId="928"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7">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8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BF916E-CD45-4AAA-B2F3-21C34F831687}" name="PivotTable7" cacheId="925"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3">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84">
      <pivotArea outline="0" collapsedLevelsAreSubtotals="1" fieldPosition="0"/>
    </format>
    <format dxfId="18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01223A-7603-4305-97D2-EA78847063F1}" name="PivotTable3" cacheId="913"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5">
      <pivotArea outline="0" collapsedLevelsAreSubtotals="1" fieldPosition="0"/>
    </format>
  </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1FDA09-D5D6-40A3-BE36-7D0C8D027C4D}" name="PivotTable2" cacheId="910"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6">
      <pivotArea outline="0" collapsedLevelsAreSubtotals="1" fieldPosition="0"/>
    </format>
  </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F25FE6-52B4-4F1A-9BEF-C5EC0F05FAB2}" name="PivotTable1" cacheId="901"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E6804B-B4F8-434A-A4D9-3574588F98E8}" name="PivotTable6" cacheId="922"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273">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87">
      <pivotArea outline="0" collapsedLevelsAreSubtotals="1" fieldPosition="0"/>
    </format>
  </formats>
  <chartFormats count="4">
    <chartFormat chart="265" format="0" series="1">
      <pivotArea type="data" outline="0" fieldPosition="0">
        <references count="1">
          <reference field="4294967294" count="1" selected="0">
            <x v="0"/>
          </reference>
        </references>
      </pivotArea>
    </chartFormat>
    <chartFormat chart="268" format="2" series="1">
      <pivotArea type="data" outline="0" fieldPosition="0">
        <references count="1">
          <reference field="4294967294" count="1" selected="0">
            <x v="0"/>
          </reference>
        </references>
      </pivotArea>
    </chartFormat>
    <chartFormat chart="269" format="3" series="1">
      <pivotArea type="data" outline="0" fieldPosition="0">
        <references count="1">
          <reference field="4294967294" count="1" selected="0">
            <x v="0"/>
          </reference>
        </references>
      </pivotArea>
    </chartFormat>
    <chartFormat chart="270"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37CB99-1BF4-449E-BF2F-B208A5A85595}" name="PivotTable5" cacheId="919"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265">
  <location ref="G4:H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88">
      <pivotArea outline="0" collapsedLevelsAreSubtotals="1" fieldPosition="0"/>
    </format>
  </formats>
  <chartFormats count="3">
    <chartFormat chart="179" format="2" series="1">
      <pivotArea type="data" outline="0" fieldPosition="0">
        <references count="1">
          <reference field="4294967294" count="1" selected="0">
            <x v="0"/>
          </reference>
        </references>
      </pivotArea>
    </chartFormat>
    <chartFormat chart="182" format="4" series="1">
      <pivotArea type="data" outline="0" fieldPosition="0">
        <references count="1">
          <reference field="4294967294" count="1" selected="0">
            <x v="0"/>
          </reference>
        </references>
      </pivotArea>
    </chartFormat>
    <chartFormat chart="264"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3F639C-79EF-41B2-8226-E63BF3508C8D}" name="PivotTable4" cacheId="916" applyNumberFormats="0" applyBorderFormats="0" applyFontFormats="0" applyPatternFormats="0" applyAlignmentFormats="0" applyWidthHeightFormats="1" dataCaption="Values" tag="364fc2c7-50d0-46fc-b584-7cee4c719690" updatedVersion="8" minRefreshableVersion="3" subtotalHiddenItems="1" itemPrintTitles="1" createdVersion="5" indent="0" outline="1" outlineData="1" multipleFieldFilters="0" chartFormat="176">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05E8E83-6BBF-4415-A3D0-4E5F6D2DC711}"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36716477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42A57C5-F0D5-4F7E-93A2-988BD3D51D41}"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6716477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8E36263-2030-41B8-AE25-65E23CA6F4A1}" cache="Slicer_Date__Month" caption="Date (Month)" showCaption="0" level="1" style="My Style" rowHeight="144000"/>
  <slicer name="Date (Year)" xr10:uid="{13173EF7-50CD-43B0-B74E-0D0611F6FF21}" cache="Slicer_Date__Year" caption="Date (Year)" columnCount="2" showCaption="0" level="1" style="My Style 2 "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C4B9-0051-46C2-AA61-DB1CA751266C}">
  <dimension ref="A3:K65"/>
  <sheetViews>
    <sheetView topLeftCell="D45" zoomScale="145" zoomScaleNormal="145" workbookViewId="0">
      <selection activeCell="G64" sqref="G64"/>
    </sheetView>
  </sheetViews>
  <sheetFormatPr defaultRowHeight="14.4" x14ac:dyDescent="0.3"/>
  <cols>
    <col min="1" max="1" width="32.77734375" bestFit="1" customWidth="1"/>
    <col min="2" max="2" width="28.21875" bestFit="1" customWidth="1"/>
    <col min="3" max="3" width="29.33203125" bestFit="1" customWidth="1"/>
    <col min="4" max="4" width="19.109375" customWidth="1"/>
    <col min="5" max="5" width="26.77734375" bestFit="1" customWidth="1"/>
    <col min="7" max="7" width="15.21875" bestFit="1" customWidth="1"/>
    <col min="8" max="8" width="25" customWidth="1"/>
    <col min="11" max="11" width="32.77734375" bestFit="1" customWidth="1"/>
  </cols>
  <sheetData>
    <row r="3" spans="1:11" x14ac:dyDescent="0.3">
      <c r="A3" s="6" t="s">
        <v>1</v>
      </c>
      <c r="D3" s="7" t="s">
        <v>7</v>
      </c>
      <c r="E3" s="7"/>
      <c r="G3" s="7" t="s">
        <v>6</v>
      </c>
      <c r="H3" s="7"/>
      <c r="J3" s="7" t="s">
        <v>10</v>
      </c>
      <c r="K3" s="7"/>
    </row>
    <row r="4" spans="1:11" x14ac:dyDescent="0.3">
      <c r="A4" t="s">
        <v>0</v>
      </c>
      <c r="D4" s="1" t="s">
        <v>4</v>
      </c>
      <c r="E4" t="s">
        <v>0</v>
      </c>
      <c r="G4" s="1" t="s">
        <v>4</v>
      </c>
      <c r="H4" t="s">
        <v>2</v>
      </c>
      <c r="J4" s="1" t="s">
        <v>4</v>
      </c>
      <c r="K4" t="s">
        <v>3</v>
      </c>
    </row>
    <row r="5" spans="1:11" x14ac:dyDescent="0.3">
      <c r="A5" s="9">
        <v>485</v>
      </c>
      <c r="D5" s="4" t="s">
        <v>48</v>
      </c>
      <c r="E5" s="9">
        <v>17</v>
      </c>
      <c r="G5" s="4" t="s">
        <v>48</v>
      </c>
      <c r="H5" s="2">
        <v>33.352941176470587</v>
      </c>
      <c r="J5" s="4" t="s">
        <v>48</v>
      </c>
      <c r="K5" s="2">
        <v>4.75</v>
      </c>
    </row>
    <row r="6" spans="1:11" x14ac:dyDescent="0.3">
      <c r="D6" s="4" t="s">
        <v>49</v>
      </c>
      <c r="E6" s="9">
        <v>10</v>
      </c>
      <c r="G6" s="4" t="s">
        <v>49</v>
      </c>
      <c r="H6" s="2">
        <v>38.4</v>
      </c>
      <c r="J6" s="4" t="s">
        <v>49</v>
      </c>
      <c r="K6" s="2">
        <v>5.2</v>
      </c>
    </row>
    <row r="7" spans="1:11" x14ac:dyDescent="0.3">
      <c r="D7" s="4" t="s">
        <v>50</v>
      </c>
      <c r="E7" s="9">
        <v>23</v>
      </c>
      <c r="G7" s="4" t="s">
        <v>50</v>
      </c>
      <c r="H7" s="2">
        <v>38.521739130434781</v>
      </c>
      <c r="J7" s="4" t="s">
        <v>50</v>
      </c>
      <c r="K7" s="2">
        <v>3.375</v>
      </c>
    </row>
    <row r="8" spans="1:11" x14ac:dyDescent="0.3">
      <c r="A8" t="s">
        <v>2</v>
      </c>
      <c r="D8" s="4" t="s">
        <v>51</v>
      </c>
      <c r="E8" s="9">
        <v>15</v>
      </c>
      <c r="G8" s="4" t="s">
        <v>51</v>
      </c>
      <c r="H8" s="2">
        <v>30.4</v>
      </c>
      <c r="J8" s="4" t="s">
        <v>51</v>
      </c>
      <c r="K8" s="2">
        <v>5.8</v>
      </c>
    </row>
    <row r="9" spans="1:11" x14ac:dyDescent="0.3">
      <c r="A9" s="2">
        <v>35.507216494845359</v>
      </c>
      <c r="D9" s="4" t="s">
        <v>52</v>
      </c>
      <c r="E9" s="9">
        <v>14</v>
      </c>
      <c r="G9" s="4" t="s">
        <v>52</v>
      </c>
      <c r="H9" s="2">
        <v>33.142857142857146</v>
      </c>
      <c r="J9" s="4" t="s">
        <v>52</v>
      </c>
      <c r="K9" s="2">
        <v>4.375</v>
      </c>
    </row>
    <row r="10" spans="1:11" x14ac:dyDescent="0.3">
      <c r="D10" s="4" t="s">
        <v>53</v>
      </c>
      <c r="E10" s="9">
        <v>11</v>
      </c>
      <c r="G10" s="4" t="s">
        <v>53</v>
      </c>
      <c r="H10" s="2">
        <v>38.18181818181818</v>
      </c>
      <c r="J10" s="4" t="s">
        <v>53</v>
      </c>
      <c r="K10" s="2">
        <v>3</v>
      </c>
    </row>
    <row r="11" spans="1:11" x14ac:dyDescent="0.3">
      <c r="D11" s="4" t="s">
        <v>54</v>
      </c>
      <c r="E11" s="9">
        <v>15</v>
      </c>
      <c r="G11" s="4" t="s">
        <v>54</v>
      </c>
      <c r="H11" s="2">
        <v>39.733333333333334</v>
      </c>
      <c r="J11" s="4" t="s">
        <v>54</v>
      </c>
      <c r="K11" s="2">
        <v>5</v>
      </c>
    </row>
    <row r="12" spans="1:11" x14ac:dyDescent="0.3">
      <c r="A12" t="s">
        <v>3</v>
      </c>
      <c r="D12" s="4" t="s">
        <v>55</v>
      </c>
      <c r="E12" s="9">
        <v>20</v>
      </c>
      <c r="G12" s="4" t="s">
        <v>55</v>
      </c>
      <c r="H12" s="2">
        <v>37</v>
      </c>
      <c r="J12" s="4" t="s">
        <v>55</v>
      </c>
      <c r="K12" s="2">
        <v>3</v>
      </c>
    </row>
    <row r="13" spans="1:11" x14ac:dyDescent="0.3">
      <c r="A13" s="2">
        <v>4.7092198581560281</v>
      </c>
      <c r="D13" s="4" t="s">
        <v>56</v>
      </c>
      <c r="E13" s="9">
        <v>21</v>
      </c>
      <c r="G13" s="4" t="s">
        <v>56</v>
      </c>
      <c r="H13" s="2">
        <v>35.61904761904762</v>
      </c>
      <c r="J13" s="4" t="s">
        <v>56</v>
      </c>
      <c r="K13" s="2">
        <v>4.9090909090909092</v>
      </c>
    </row>
    <row r="14" spans="1:11" x14ac:dyDescent="0.3">
      <c r="D14" s="4" t="s">
        <v>57</v>
      </c>
      <c r="E14" s="9">
        <v>17</v>
      </c>
      <c r="G14" s="4" t="s">
        <v>57</v>
      </c>
      <c r="H14" s="2">
        <v>34.176470588235297</v>
      </c>
      <c r="J14" s="4" t="s">
        <v>57</v>
      </c>
      <c r="K14" s="2">
        <v>3.8333333333333335</v>
      </c>
    </row>
    <row r="15" spans="1:11" x14ac:dyDescent="0.3">
      <c r="D15" s="4" t="s">
        <v>58</v>
      </c>
      <c r="E15" s="9">
        <v>17</v>
      </c>
      <c r="G15" s="4" t="s">
        <v>58</v>
      </c>
      <c r="H15" s="2">
        <v>37.176470588235297</v>
      </c>
      <c r="J15" s="4" t="s">
        <v>58</v>
      </c>
      <c r="K15" s="2">
        <v>3.875</v>
      </c>
    </row>
    <row r="16" spans="1:11" x14ac:dyDescent="0.3">
      <c r="D16" s="4" t="s">
        <v>59</v>
      </c>
      <c r="E16" s="9">
        <v>17</v>
      </c>
      <c r="G16" s="4" t="s">
        <v>59</v>
      </c>
      <c r="H16" s="2">
        <v>36.647058823529413</v>
      </c>
      <c r="J16" s="4" t="s">
        <v>59</v>
      </c>
      <c r="K16" s="2">
        <v>4.333333333333333</v>
      </c>
    </row>
    <row r="17" spans="4:11" x14ac:dyDescent="0.3">
      <c r="D17" s="4" t="s">
        <v>60</v>
      </c>
      <c r="E17" s="9">
        <v>17</v>
      </c>
      <c r="G17" s="4" t="s">
        <v>60</v>
      </c>
      <c r="H17" s="2">
        <v>34.941176470588232</v>
      </c>
      <c r="J17" s="4" t="s">
        <v>60</v>
      </c>
      <c r="K17" s="2">
        <v>3.5</v>
      </c>
    </row>
    <row r="18" spans="4:11" x14ac:dyDescent="0.3">
      <c r="D18" s="4" t="s">
        <v>61</v>
      </c>
      <c r="E18" s="9">
        <v>11</v>
      </c>
      <c r="G18" s="4" t="s">
        <v>61</v>
      </c>
      <c r="H18" s="2">
        <v>44</v>
      </c>
      <c r="J18" s="4" t="s">
        <v>61</v>
      </c>
      <c r="K18" s="2">
        <v>5.4</v>
      </c>
    </row>
    <row r="19" spans="4:11" x14ac:dyDescent="0.3">
      <c r="D19" s="4" t="s">
        <v>62</v>
      </c>
      <c r="E19" s="9">
        <v>23</v>
      </c>
      <c r="G19" s="4" t="s">
        <v>62</v>
      </c>
      <c r="H19" s="2">
        <v>38.913043478260867</v>
      </c>
      <c r="J19" s="4" t="s">
        <v>62</v>
      </c>
      <c r="K19" s="2">
        <v>5.375</v>
      </c>
    </row>
    <row r="20" spans="4:11" x14ac:dyDescent="0.3">
      <c r="D20" s="4" t="s">
        <v>63</v>
      </c>
      <c r="E20" s="9">
        <v>14</v>
      </c>
      <c r="G20" s="4" t="s">
        <v>63</v>
      </c>
      <c r="H20" s="2">
        <v>31</v>
      </c>
      <c r="J20" s="4" t="s">
        <v>63</v>
      </c>
      <c r="K20" s="2">
        <v>3.3333333333333335</v>
      </c>
    </row>
    <row r="21" spans="4:11" x14ac:dyDescent="0.3">
      <c r="D21" s="4" t="s">
        <v>64</v>
      </c>
      <c r="E21" s="9">
        <v>22</v>
      </c>
      <c r="G21" s="4" t="s">
        <v>64</v>
      </c>
      <c r="H21" s="2">
        <v>34.227272727272727</v>
      </c>
      <c r="J21" s="4" t="s">
        <v>64</v>
      </c>
      <c r="K21" s="2">
        <v>6.2</v>
      </c>
    </row>
    <row r="22" spans="4:11" x14ac:dyDescent="0.3">
      <c r="D22" s="4" t="s">
        <v>65</v>
      </c>
      <c r="E22" s="9">
        <v>16</v>
      </c>
      <c r="G22" s="4" t="s">
        <v>65</v>
      </c>
      <c r="H22" s="2">
        <v>31</v>
      </c>
      <c r="J22" s="4" t="s">
        <v>65</v>
      </c>
      <c r="K22" s="2">
        <v>1.6666666666666667</v>
      </c>
    </row>
    <row r="23" spans="4:11" x14ac:dyDescent="0.3">
      <c r="D23" s="4" t="s">
        <v>66</v>
      </c>
      <c r="E23" s="9">
        <v>13</v>
      </c>
      <c r="G23" s="4" t="s">
        <v>66</v>
      </c>
      <c r="H23" s="2">
        <v>32.153846153846153</v>
      </c>
      <c r="J23" s="4" t="s">
        <v>66</v>
      </c>
      <c r="K23" s="2">
        <v>4.5</v>
      </c>
    </row>
    <row r="24" spans="4:11" x14ac:dyDescent="0.3">
      <c r="D24" s="4" t="s">
        <v>67</v>
      </c>
      <c r="E24" s="9">
        <v>14</v>
      </c>
      <c r="G24" s="4" t="s">
        <v>67</v>
      </c>
      <c r="H24" s="2">
        <v>32.785714285714285</v>
      </c>
      <c r="J24" s="4" t="s">
        <v>67</v>
      </c>
      <c r="K24" s="2">
        <v>7.666666666666667</v>
      </c>
    </row>
    <row r="25" spans="4:11" x14ac:dyDescent="0.3">
      <c r="D25" s="4" t="s">
        <v>68</v>
      </c>
      <c r="E25" s="9">
        <v>12</v>
      </c>
      <c r="G25" s="4" t="s">
        <v>68</v>
      </c>
      <c r="H25" s="2">
        <v>30</v>
      </c>
      <c r="J25" s="4" t="s">
        <v>68</v>
      </c>
      <c r="K25" s="2">
        <v>4.4000000000000004</v>
      </c>
    </row>
    <row r="26" spans="4:11" x14ac:dyDescent="0.3">
      <c r="D26" s="4" t="s">
        <v>69</v>
      </c>
      <c r="E26" s="9">
        <v>12</v>
      </c>
      <c r="G26" s="4" t="s">
        <v>69</v>
      </c>
      <c r="H26" s="2">
        <v>33.5</v>
      </c>
      <c r="J26" s="4" t="s">
        <v>69</v>
      </c>
      <c r="K26" s="2">
        <v>6.5</v>
      </c>
    </row>
    <row r="27" spans="4:11" x14ac:dyDescent="0.3">
      <c r="D27" s="4" t="s">
        <v>70</v>
      </c>
      <c r="E27" s="9">
        <v>20</v>
      </c>
      <c r="G27" s="4" t="s">
        <v>70</v>
      </c>
      <c r="H27" s="2">
        <v>32.950000000000003</v>
      </c>
      <c r="J27" s="4" t="s">
        <v>70</v>
      </c>
      <c r="K27" s="2">
        <v>5</v>
      </c>
    </row>
    <row r="28" spans="4:11" x14ac:dyDescent="0.3">
      <c r="D28" s="4" t="s">
        <v>71</v>
      </c>
      <c r="E28" s="9">
        <v>19</v>
      </c>
      <c r="G28" s="4" t="s">
        <v>71</v>
      </c>
      <c r="H28" s="2">
        <v>35.842105263157897</v>
      </c>
      <c r="J28" s="4" t="s">
        <v>71</v>
      </c>
      <c r="K28" s="2">
        <v>5.25</v>
      </c>
    </row>
    <row r="29" spans="4:11" x14ac:dyDescent="0.3">
      <c r="D29" s="4" t="s">
        <v>72</v>
      </c>
      <c r="E29" s="9">
        <v>13</v>
      </c>
      <c r="G29" s="4" t="s">
        <v>72</v>
      </c>
      <c r="H29" s="2">
        <v>33.846153846153847</v>
      </c>
      <c r="J29" s="4" t="s">
        <v>72</v>
      </c>
      <c r="K29" s="2">
        <v>4.75</v>
      </c>
    </row>
    <row r="30" spans="4:11" x14ac:dyDescent="0.3">
      <c r="D30" s="4" t="s">
        <v>73</v>
      </c>
      <c r="E30" s="9">
        <v>15</v>
      </c>
      <c r="G30" s="4" t="s">
        <v>73</v>
      </c>
      <c r="H30" s="2">
        <v>39.06666666666667</v>
      </c>
      <c r="J30" s="4" t="s">
        <v>73</v>
      </c>
      <c r="K30" s="2">
        <v>5</v>
      </c>
    </row>
    <row r="31" spans="4:11" x14ac:dyDescent="0.3">
      <c r="D31" s="4" t="s">
        <v>74</v>
      </c>
      <c r="E31" s="9">
        <v>19</v>
      </c>
      <c r="G31" s="4" t="s">
        <v>74</v>
      </c>
      <c r="H31" s="2">
        <v>36.684210526315788</v>
      </c>
      <c r="J31" s="4" t="s">
        <v>74</v>
      </c>
      <c r="K31" s="2">
        <v>4</v>
      </c>
    </row>
    <row r="32" spans="4:11" x14ac:dyDescent="0.3">
      <c r="D32" s="4" t="s">
        <v>75</v>
      </c>
      <c r="E32" s="9">
        <v>17</v>
      </c>
      <c r="G32" s="4" t="s">
        <v>75</v>
      </c>
      <c r="H32" s="2">
        <v>33.764705882352942</v>
      </c>
      <c r="J32" s="4" t="s">
        <v>75</v>
      </c>
      <c r="K32" s="2">
        <v>5.333333333333333</v>
      </c>
    </row>
    <row r="33" spans="1:11" x14ac:dyDescent="0.3">
      <c r="D33" s="4" t="s">
        <v>76</v>
      </c>
      <c r="E33" s="9">
        <v>15</v>
      </c>
      <c r="G33" s="4" t="s">
        <v>76</v>
      </c>
      <c r="H33" s="2">
        <v>34.533333333333331</v>
      </c>
      <c r="J33" s="4" t="s">
        <v>76</v>
      </c>
      <c r="K33" s="2">
        <v>6</v>
      </c>
    </row>
    <row r="34" spans="1:11" x14ac:dyDescent="0.3">
      <c r="D34" s="4" t="s">
        <v>77</v>
      </c>
      <c r="E34" s="9">
        <v>16</v>
      </c>
      <c r="G34" s="4" t="s">
        <v>77</v>
      </c>
      <c r="H34" s="2">
        <v>42.125</v>
      </c>
      <c r="J34" s="4" t="s">
        <v>77</v>
      </c>
      <c r="K34" s="2">
        <v>6.333333333333333</v>
      </c>
    </row>
    <row r="35" spans="1:11" x14ac:dyDescent="0.3">
      <c r="D35" s="4" t="s">
        <v>5</v>
      </c>
      <c r="E35" s="9">
        <v>485</v>
      </c>
      <c r="G35" s="4" t="s">
        <v>5</v>
      </c>
      <c r="H35" s="2">
        <v>35.507216494845359</v>
      </c>
      <c r="J35" s="4" t="s">
        <v>5</v>
      </c>
      <c r="K35" s="2">
        <v>4.7092198581560281</v>
      </c>
    </row>
    <row r="40" spans="1:11" x14ac:dyDescent="0.3">
      <c r="A40" s="1" t="s">
        <v>4</v>
      </c>
      <c r="B40" t="s">
        <v>11</v>
      </c>
      <c r="C40" t="s">
        <v>14</v>
      </c>
    </row>
    <row r="41" spans="1:11" x14ac:dyDescent="0.3">
      <c r="A41" s="4" t="s">
        <v>12</v>
      </c>
      <c r="B41" s="10">
        <v>235</v>
      </c>
      <c r="C41" s="11">
        <v>0.4845360824742268</v>
      </c>
    </row>
    <row r="42" spans="1:11" x14ac:dyDescent="0.3">
      <c r="A42" s="4" t="s">
        <v>13</v>
      </c>
      <c r="B42" s="10">
        <v>250</v>
      </c>
      <c r="C42" s="11">
        <v>0.51546391752577314</v>
      </c>
    </row>
    <row r="43" spans="1:11" x14ac:dyDescent="0.3">
      <c r="A43" s="4" t="s">
        <v>5</v>
      </c>
      <c r="B43" s="10">
        <v>485</v>
      </c>
      <c r="C43" s="11">
        <v>1</v>
      </c>
    </row>
    <row r="46" spans="1:11" x14ac:dyDescent="0.3">
      <c r="A46" s="14" t="s">
        <v>15</v>
      </c>
      <c r="B46" s="15" t="s">
        <v>16</v>
      </c>
      <c r="C46" s="15" t="s">
        <v>17</v>
      </c>
      <c r="D46" s="15" t="s">
        <v>18</v>
      </c>
    </row>
    <row r="47" spans="1:11" x14ac:dyDescent="0.3">
      <c r="A47" s="16" t="str">
        <f>A42</f>
        <v>Not Admitted</v>
      </c>
      <c r="B47" s="12">
        <f>B42</f>
        <v>250</v>
      </c>
      <c r="C47" s="13">
        <f>C42</f>
        <v>0.51546391752577314</v>
      </c>
      <c r="D47" s="12"/>
    </row>
    <row r="48" spans="1:11" x14ac:dyDescent="0.3">
      <c r="A48" s="16" t="str">
        <f>A41</f>
        <v>Admitted</v>
      </c>
      <c r="B48" s="12">
        <f>B41</f>
        <v>235</v>
      </c>
      <c r="C48" s="13">
        <f>C41</f>
        <v>0.4845360824742268</v>
      </c>
      <c r="D48" s="12"/>
    </row>
    <row r="50" spans="1:8" x14ac:dyDescent="0.3">
      <c r="A50" s="7" t="s">
        <v>28</v>
      </c>
      <c r="B50" s="7"/>
      <c r="D50" s="7" t="s">
        <v>32</v>
      </c>
      <c r="E50" s="7"/>
      <c r="G50" s="7" t="s">
        <v>37</v>
      </c>
      <c r="H50" s="7"/>
    </row>
    <row r="51" spans="1:8" x14ac:dyDescent="0.3">
      <c r="A51" s="1" t="s">
        <v>4</v>
      </c>
      <c r="B51" t="s">
        <v>27</v>
      </c>
      <c r="D51" s="1" t="s">
        <v>4</v>
      </c>
      <c r="E51" t="s">
        <v>31</v>
      </c>
      <c r="G51" s="1" t="s">
        <v>4</v>
      </c>
      <c r="H51" t="s">
        <v>46</v>
      </c>
    </row>
    <row r="52" spans="1:8" x14ac:dyDescent="0.3">
      <c r="A52" s="4" t="s">
        <v>19</v>
      </c>
      <c r="B52" s="10">
        <v>59</v>
      </c>
      <c r="D52" s="4" t="s">
        <v>29</v>
      </c>
      <c r="E52" s="10">
        <v>297</v>
      </c>
      <c r="G52" s="4" t="s">
        <v>45</v>
      </c>
      <c r="H52" s="10">
        <v>2</v>
      </c>
    </row>
    <row r="53" spans="1:8" x14ac:dyDescent="0.3">
      <c r="A53" s="4" t="s">
        <v>20</v>
      </c>
      <c r="B53" s="10">
        <v>55</v>
      </c>
      <c r="D53" s="4" t="s">
        <v>30</v>
      </c>
      <c r="E53" s="10">
        <v>188</v>
      </c>
      <c r="G53" s="4" t="s">
        <v>44</v>
      </c>
      <c r="H53" s="10">
        <v>11</v>
      </c>
    </row>
    <row r="54" spans="1:8" x14ac:dyDescent="0.3">
      <c r="A54" s="4" t="s">
        <v>21</v>
      </c>
      <c r="B54" s="10">
        <v>69</v>
      </c>
      <c r="D54" s="4" t="s">
        <v>5</v>
      </c>
      <c r="E54" s="10">
        <v>485</v>
      </c>
      <c r="G54" s="4" t="s">
        <v>41</v>
      </c>
      <c r="H54" s="10">
        <v>12</v>
      </c>
    </row>
    <row r="55" spans="1:8" x14ac:dyDescent="0.3">
      <c r="A55" s="4" t="s">
        <v>22</v>
      </c>
      <c r="B55" s="10">
        <v>64</v>
      </c>
      <c r="G55" s="4" t="s">
        <v>39</v>
      </c>
      <c r="H55" s="10">
        <v>12</v>
      </c>
    </row>
    <row r="56" spans="1:8" x14ac:dyDescent="0.3">
      <c r="A56" s="4" t="s">
        <v>23</v>
      </c>
      <c r="B56" s="10">
        <v>56</v>
      </c>
      <c r="G56" s="4" t="s">
        <v>38</v>
      </c>
      <c r="H56" s="10">
        <v>13</v>
      </c>
    </row>
    <row r="57" spans="1:8" x14ac:dyDescent="0.3">
      <c r="A57" s="4" t="s">
        <v>24</v>
      </c>
      <c r="B57" s="10">
        <v>60</v>
      </c>
      <c r="D57" s="7" t="s">
        <v>36</v>
      </c>
      <c r="E57" s="7"/>
      <c r="G57" s="4" t="s">
        <v>43</v>
      </c>
      <c r="H57" s="10">
        <v>53</v>
      </c>
    </row>
    <row r="58" spans="1:8" x14ac:dyDescent="0.3">
      <c r="A58" s="4" t="s">
        <v>25</v>
      </c>
      <c r="B58" s="10">
        <v>51</v>
      </c>
      <c r="D58" s="1" t="s">
        <v>4</v>
      </c>
      <c r="E58" t="s">
        <v>35</v>
      </c>
      <c r="G58" s="4" t="s">
        <v>40</v>
      </c>
      <c r="H58" s="10">
        <v>91</v>
      </c>
    </row>
    <row r="59" spans="1:8" x14ac:dyDescent="0.3">
      <c r="A59" s="4" t="s">
        <v>26</v>
      </c>
      <c r="B59" s="10">
        <v>71</v>
      </c>
      <c r="D59" s="4" t="s">
        <v>33</v>
      </c>
      <c r="E59" s="10">
        <v>239</v>
      </c>
      <c r="G59" s="4" t="s">
        <v>42</v>
      </c>
      <c r="H59" s="10">
        <v>291</v>
      </c>
    </row>
    <row r="60" spans="1:8" x14ac:dyDescent="0.3">
      <c r="A60" s="4" t="s">
        <v>5</v>
      </c>
      <c r="B60" s="10">
        <v>485</v>
      </c>
      <c r="D60" s="4" t="s">
        <v>34</v>
      </c>
      <c r="E60" s="10">
        <v>246</v>
      </c>
      <c r="G60" s="4" t="s">
        <v>5</v>
      </c>
      <c r="H60" s="10">
        <v>485</v>
      </c>
    </row>
    <row r="61" spans="1:8" x14ac:dyDescent="0.3">
      <c r="D61" s="4" t="s">
        <v>5</v>
      </c>
      <c r="E61" s="10">
        <v>485</v>
      </c>
    </row>
    <row r="63" spans="1:8" x14ac:dyDescent="0.3">
      <c r="G63" s="1" t="s">
        <v>4</v>
      </c>
    </row>
    <row r="64" spans="1:8" x14ac:dyDescent="0.3">
      <c r="G64" s="4" t="s">
        <v>47</v>
      </c>
    </row>
    <row r="65" spans="7:7" x14ac:dyDescent="0.3">
      <c r="G65" s="4" t="s">
        <v>5</v>
      </c>
    </row>
  </sheetData>
  <mergeCells count="7">
    <mergeCell ref="D57:E57"/>
    <mergeCell ref="G50:H50"/>
    <mergeCell ref="D3:E3"/>
    <mergeCell ref="G3:H3"/>
    <mergeCell ref="J3:K3"/>
    <mergeCell ref="A50:B50"/>
    <mergeCell ref="D50:E50"/>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0984-1006-40D5-93A4-ED13608B9044}">
  <dimension ref="A1:M16"/>
  <sheetViews>
    <sheetView tabSelected="1" zoomScale="190" zoomScaleNormal="190" workbookViewId="0">
      <selection activeCell="H18" sqref="H18"/>
    </sheetView>
  </sheetViews>
  <sheetFormatPr defaultRowHeight="14.4" x14ac:dyDescent="0.3"/>
  <cols>
    <col min="7" max="7" width="9.109375" customWidth="1"/>
    <col min="12" max="12" width="4.33203125" customWidth="1"/>
    <col min="13" max="13" width="13.21875" hidden="1"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ht="23.4" customHeight="1" x14ac:dyDescent="0.3">
      <c r="A16" s="3"/>
      <c r="B16" s="3"/>
      <c r="C16" s="3"/>
      <c r="D16" s="3"/>
      <c r="E16" s="3"/>
      <c r="F16" s="3"/>
      <c r="G16" s="3"/>
      <c r="H16" s="3"/>
      <c r="I16" s="3"/>
      <c r="J16" s="3"/>
      <c r="K16" s="3"/>
      <c r="L16" s="3"/>
      <c r="M16"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13AA-E9CC-4BD9-BA52-CD0CF8F1C6CB}">
  <dimension ref="A1:P28"/>
  <sheetViews>
    <sheetView workbookViewId="0"/>
  </sheetViews>
  <sheetFormatPr defaultRowHeight="14.4" x14ac:dyDescent="0.3"/>
  <sheetData>
    <row r="1" spans="1:16" x14ac:dyDescent="0.3">
      <c r="A1" s="5"/>
      <c r="B1" s="5"/>
      <c r="C1" s="5"/>
      <c r="D1" s="5"/>
      <c r="E1" s="5"/>
      <c r="F1" s="5"/>
      <c r="G1" s="5"/>
      <c r="H1" s="5"/>
      <c r="I1" s="5"/>
      <c r="J1" s="5"/>
      <c r="K1" s="5"/>
      <c r="L1" s="5"/>
      <c r="M1" s="5"/>
      <c r="N1" s="5"/>
      <c r="O1" s="5"/>
      <c r="P1" s="5"/>
    </row>
    <row r="2" spans="1:16" x14ac:dyDescent="0.3">
      <c r="A2" s="5"/>
      <c r="B2" s="5"/>
      <c r="C2" s="5"/>
      <c r="D2" s="5"/>
      <c r="E2" s="5"/>
      <c r="F2" s="5"/>
      <c r="G2" s="5"/>
      <c r="H2" s="5"/>
      <c r="I2" s="5"/>
      <c r="J2" s="5"/>
      <c r="K2" s="5"/>
      <c r="L2" s="5"/>
      <c r="M2" s="5"/>
      <c r="N2" s="5"/>
      <c r="O2" s="5"/>
      <c r="P2" s="5"/>
    </row>
    <row r="3" spans="1:16" x14ac:dyDescent="0.3">
      <c r="A3" s="5"/>
      <c r="B3" s="5"/>
      <c r="C3" s="5"/>
      <c r="D3" s="5"/>
      <c r="E3" s="5"/>
      <c r="F3" s="5"/>
      <c r="G3" s="5"/>
      <c r="H3" s="5"/>
      <c r="I3" s="5"/>
      <c r="J3" s="5"/>
      <c r="K3" s="5"/>
      <c r="L3" s="5"/>
      <c r="M3" s="5"/>
      <c r="N3" s="5"/>
      <c r="O3" s="5"/>
      <c r="P3" s="5"/>
    </row>
    <row r="4" spans="1:16" x14ac:dyDescent="0.3">
      <c r="A4" s="5"/>
      <c r="B4" s="5"/>
      <c r="C4" s="5"/>
      <c r="D4" s="5"/>
      <c r="E4" s="5"/>
      <c r="F4" s="5"/>
      <c r="G4" s="5"/>
      <c r="H4" s="5"/>
      <c r="I4" s="5"/>
      <c r="J4" s="5"/>
      <c r="K4" s="5"/>
      <c r="L4" s="5"/>
      <c r="M4" s="5"/>
      <c r="N4" s="5"/>
      <c r="O4" s="5"/>
      <c r="P4" s="5"/>
    </row>
    <row r="5" spans="1:16" x14ac:dyDescent="0.3">
      <c r="A5" s="5"/>
      <c r="B5" s="5"/>
      <c r="C5" s="5"/>
      <c r="D5" s="5"/>
      <c r="E5" s="5"/>
      <c r="F5" s="5"/>
      <c r="G5" s="5"/>
      <c r="H5" s="5"/>
      <c r="I5" s="5"/>
      <c r="J5" s="5"/>
      <c r="K5" s="5"/>
      <c r="L5" s="5"/>
      <c r="M5" s="5"/>
      <c r="N5" s="5"/>
      <c r="O5" s="5"/>
      <c r="P5" s="5"/>
    </row>
    <row r="6" spans="1:16" x14ac:dyDescent="0.3">
      <c r="A6" s="5"/>
      <c r="B6" s="5"/>
      <c r="C6" s="5"/>
      <c r="D6" s="5"/>
      <c r="E6" s="5"/>
      <c r="F6" s="5"/>
      <c r="G6" s="5"/>
      <c r="H6" s="5"/>
      <c r="I6" s="5"/>
      <c r="J6" s="5"/>
      <c r="K6" s="5"/>
      <c r="L6" s="5"/>
      <c r="M6" s="5"/>
      <c r="N6" s="5"/>
      <c r="O6" s="5"/>
      <c r="P6" s="5"/>
    </row>
    <row r="7" spans="1:16" x14ac:dyDescent="0.3">
      <c r="A7" s="5"/>
      <c r="B7" s="5"/>
      <c r="C7" s="5"/>
      <c r="D7" s="5"/>
      <c r="E7" s="5"/>
      <c r="F7" s="5"/>
      <c r="G7" s="5"/>
      <c r="H7" s="5"/>
      <c r="I7" s="5"/>
      <c r="J7" s="5"/>
      <c r="K7" s="5"/>
      <c r="L7" s="5"/>
      <c r="M7" s="5"/>
      <c r="N7" s="5"/>
      <c r="O7" s="5"/>
      <c r="P7" s="5"/>
    </row>
    <row r="8" spans="1:16" x14ac:dyDescent="0.3">
      <c r="A8" s="5"/>
      <c r="B8" s="5"/>
      <c r="C8" s="5"/>
      <c r="D8" s="5"/>
      <c r="E8" s="5"/>
      <c r="F8" s="5"/>
      <c r="G8" s="5"/>
      <c r="H8" s="5"/>
      <c r="I8" s="5"/>
      <c r="J8" s="5"/>
      <c r="K8" s="5"/>
      <c r="L8" s="5"/>
      <c r="M8" s="5"/>
      <c r="N8" s="5"/>
      <c r="O8" s="5"/>
      <c r="P8" s="5"/>
    </row>
    <row r="9" spans="1:16" x14ac:dyDescent="0.3">
      <c r="A9" s="5"/>
      <c r="B9" s="5"/>
      <c r="C9" s="5"/>
      <c r="D9" s="5"/>
      <c r="E9" s="5"/>
      <c r="F9" s="5"/>
      <c r="G9" s="5"/>
      <c r="H9" s="5"/>
      <c r="I9" s="5"/>
      <c r="J9" s="5"/>
      <c r="K9" s="5"/>
      <c r="L9" s="5"/>
      <c r="M9" s="5"/>
      <c r="N9" s="5"/>
      <c r="O9" s="5"/>
      <c r="P9" s="5"/>
    </row>
    <row r="10" spans="1:16" x14ac:dyDescent="0.3">
      <c r="A10" s="5"/>
      <c r="B10" s="5"/>
      <c r="C10" s="5"/>
      <c r="D10" s="5"/>
      <c r="E10" s="5"/>
      <c r="F10" s="5"/>
      <c r="G10" s="5"/>
      <c r="H10" s="5"/>
      <c r="I10" s="5"/>
      <c r="J10" s="5"/>
      <c r="K10" s="5"/>
      <c r="L10" s="5"/>
      <c r="M10" s="5"/>
      <c r="N10" s="5"/>
      <c r="O10" s="5"/>
      <c r="P10" s="5"/>
    </row>
    <row r="11" spans="1:16" x14ac:dyDescent="0.3">
      <c r="A11" s="5"/>
      <c r="B11" s="5"/>
      <c r="C11" s="5"/>
      <c r="D11" s="5"/>
      <c r="E11" s="5"/>
      <c r="F11" s="5"/>
      <c r="G11" s="5"/>
      <c r="H11" s="5"/>
      <c r="I11" s="5"/>
      <c r="J11" s="5"/>
      <c r="K11" s="5"/>
      <c r="L11" s="5"/>
      <c r="M11" s="5"/>
      <c r="N11" s="5"/>
      <c r="O11" s="5"/>
      <c r="P11" s="5"/>
    </row>
    <row r="12" spans="1:16" x14ac:dyDescent="0.3">
      <c r="A12" s="5"/>
      <c r="B12" s="5"/>
      <c r="C12" s="5"/>
      <c r="D12" s="5"/>
      <c r="E12" s="5"/>
      <c r="F12" s="5"/>
      <c r="G12" s="5"/>
      <c r="H12" s="5"/>
      <c r="I12" s="5"/>
      <c r="J12" s="5"/>
      <c r="K12" s="5"/>
      <c r="L12" s="5"/>
      <c r="M12" s="5"/>
      <c r="N12" s="5"/>
      <c r="O12" s="5"/>
      <c r="P12" s="5"/>
    </row>
    <row r="13" spans="1:16" x14ac:dyDescent="0.3">
      <c r="A13" s="5"/>
      <c r="B13" s="5"/>
      <c r="C13" s="5"/>
      <c r="D13" s="5"/>
      <c r="E13" s="5"/>
      <c r="F13" s="5"/>
      <c r="G13" s="5"/>
      <c r="H13" s="5"/>
      <c r="I13" s="5"/>
      <c r="J13" s="5"/>
      <c r="K13" s="5"/>
      <c r="L13" s="5"/>
      <c r="M13" s="5"/>
      <c r="N13" s="5"/>
      <c r="O13" s="5"/>
      <c r="P13" s="5"/>
    </row>
    <row r="14" spans="1:16" x14ac:dyDescent="0.3">
      <c r="A14" s="5"/>
      <c r="B14" s="5"/>
      <c r="C14" s="5"/>
      <c r="D14" s="5"/>
      <c r="E14" s="5"/>
      <c r="F14" s="5"/>
      <c r="G14" s="5"/>
      <c r="H14" s="5"/>
      <c r="I14" s="5"/>
      <c r="J14" s="5"/>
      <c r="K14" s="5"/>
      <c r="L14" s="5"/>
      <c r="M14" s="5"/>
      <c r="N14" s="5"/>
      <c r="O14" s="5"/>
      <c r="P14" s="5"/>
    </row>
    <row r="15" spans="1:16" x14ac:dyDescent="0.3">
      <c r="A15" s="5"/>
      <c r="B15" s="5"/>
      <c r="C15" s="5"/>
      <c r="D15" s="5"/>
      <c r="E15" s="5"/>
      <c r="F15" s="5"/>
      <c r="G15" s="5"/>
      <c r="H15" s="5"/>
      <c r="I15" s="5"/>
      <c r="J15" s="5"/>
      <c r="K15" s="5"/>
      <c r="L15" s="5"/>
      <c r="M15" s="5"/>
      <c r="N15" s="5"/>
      <c r="O15" s="5"/>
      <c r="P15" s="5"/>
    </row>
    <row r="16" spans="1:16" x14ac:dyDescent="0.3">
      <c r="A16" s="5"/>
      <c r="B16" s="5"/>
      <c r="C16" s="5"/>
      <c r="D16" s="5"/>
      <c r="E16" s="5"/>
      <c r="F16" s="5"/>
      <c r="G16" s="5"/>
      <c r="H16" s="5"/>
      <c r="I16" s="5"/>
      <c r="J16" s="5"/>
      <c r="K16" s="5"/>
      <c r="L16" s="5"/>
      <c r="M16" s="5"/>
      <c r="N16" s="5"/>
      <c r="O16" s="5"/>
      <c r="P16" s="5"/>
    </row>
    <row r="17" spans="1:16" x14ac:dyDescent="0.3">
      <c r="A17" s="5"/>
      <c r="B17" s="5"/>
      <c r="C17" s="5"/>
      <c r="D17" s="5"/>
      <c r="E17" s="5"/>
      <c r="F17" s="5"/>
      <c r="G17" s="5"/>
      <c r="H17" s="5"/>
      <c r="I17" s="5"/>
      <c r="J17" s="5"/>
      <c r="K17" s="5"/>
      <c r="L17" s="5"/>
      <c r="M17" s="5"/>
      <c r="N17" s="5"/>
      <c r="O17" s="5"/>
      <c r="P17" s="5"/>
    </row>
    <row r="18" spans="1:16" x14ac:dyDescent="0.3">
      <c r="A18" s="5"/>
      <c r="B18" s="5"/>
      <c r="C18" s="5"/>
      <c r="D18" s="5"/>
      <c r="E18" s="5"/>
      <c r="F18" s="5"/>
      <c r="G18" s="5"/>
      <c r="H18" s="5"/>
      <c r="I18" s="5"/>
      <c r="J18" s="5"/>
      <c r="K18" s="5"/>
      <c r="L18" s="5"/>
      <c r="M18" s="5"/>
      <c r="N18" s="5"/>
      <c r="O18" s="5"/>
      <c r="P18" s="5"/>
    </row>
    <row r="19" spans="1:16" x14ac:dyDescent="0.3">
      <c r="A19" s="5"/>
      <c r="B19" s="5"/>
      <c r="C19" s="5"/>
      <c r="D19" s="5"/>
      <c r="E19" s="5"/>
      <c r="F19" s="5"/>
      <c r="G19" s="5"/>
      <c r="H19" s="5"/>
      <c r="I19" s="5"/>
      <c r="J19" s="5"/>
      <c r="K19" s="5"/>
      <c r="L19" s="5"/>
      <c r="M19" s="5"/>
      <c r="N19" s="5"/>
      <c r="O19" s="5"/>
      <c r="P19" s="5"/>
    </row>
    <row r="20" spans="1:16" x14ac:dyDescent="0.3">
      <c r="A20" s="5"/>
      <c r="B20" s="5"/>
      <c r="C20" s="5"/>
      <c r="D20" s="5"/>
      <c r="E20" s="5"/>
      <c r="F20" s="5"/>
      <c r="G20" s="5"/>
      <c r="H20" s="5"/>
      <c r="I20" s="5"/>
      <c r="J20" s="5"/>
      <c r="K20" s="5"/>
      <c r="L20" s="5"/>
      <c r="M20" s="5"/>
      <c r="N20" s="5"/>
      <c r="O20" s="5"/>
      <c r="P20" s="5"/>
    </row>
    <row r="21" spans="1:16" x14ac:dyDescent="0.3">
      <c r="A21" s="5"/>
      <c r="B21" s="5"/>
      <c r="C21" s="5"/>
      <c r="D21" s="5"/>
      <c r="E21" s="5"/>
      <c r="F21" s="5"/>
      <c r="G21" s="5"/>
      <c r="H21" s="5"/>
      <c r="I21" s="5"/>
      <c r="J21" s="5"/>
      <c r="K21" s="5"/>
      <c r="L21" s="5"/>
      <c r="M21" s="5"/>
      <c r="N21" s="5"/>
      <c r="O21" s="5"/>
      <c r="P21" s="5"/>
    </row>
    <row r="22" spans="1:16" x14ac:dyDescent="0.3">
      <c r="A22" s="5"/>
      <c r="B22" s="5"/>
      <c r="C22" s="5"/>
      <c r="D22" s="5"/>
      <c r="E22" s="5"/>
      <c r="F22" s="5"/>
      <c r="G22" s="5"/>
      <c r="H22" s="5"/>
      <c r="I22" s="5"/>
      <c r="J22" s="5"/>
      <c r="K22" s="5"/>
      <c r="L22" s="5"/>
      <c r="M22" s="5"/>
      <c r="N22" s="5"/>
      <c r="O22" s="5"/>
      <c r="P22" s="5"/>
    </row>
    <row r="23" spans="1:16" x14ac:dyDescent="0.3">
      <c r="A23" s="5"/>
      <c r="B23" s="5"/>
      <c r="C23" s="5"/>
      <c r="D23" s="5"/>
      <c r="E23" s="5"/>
      <c r="F23" s="5"/>
      <c r="G23" s="5"/>
      <c r="H23" s="5"/>
      <c r="I23" s="5"/>
      <c r="J23" s="5"/>
      <c r="K23" s="5"/>
      <c r="L23" s="5"/>
      <c r="M23" s="5"/>
      <c r="N23" s="5"/>
      <c r="O23" s="5"/>
      <c r="P23" s="5"/>
    </row>
    <row r="24" spans="1:16" x14ac:dyDescent="0.3">
      <c r="A24" s="5"/>
      <c r="B24" s="5"/>
      <c r="C24" s="5"/>
      <c r="D24" s="5"/>
      <c r="E24" s="5"/>
      <c r="F24" s="5"/>
      <c r="G24" s="5"/>
      <c r="H24" s="5"/>
      <c r="I24" s="5"/>
      <c r="J24" s="5"/>
      <c r="K24" s="5"/>
      <c r="L24" s="5"/>
      <c r="M24" s="5"/>
      <c r="N24" s="5"/>
      <c r="O24" s="5"/>
      <c r="P24" s="5"/>
    </row>
    <row r="25" spans="1:16" x14ac:dyDescent="0.3">
      <c r="A25" s="5"/>
      <c r="B25" s="5"/>
      <c r="C25" s="5"/>
      <c r="D25" s="5"/>
      <c r="E25" s="5"/>
      <c r="F25" s="5"/>
      <c r="G25" s="5"/>
      <c r="H25" s="5"/>
      <c r="I25" s="5"/>
      <c r="J25" s="5"/>
      <c r="K25" s="5"/>
      <c r="L25" s="5"/>
      <c r="M25" s="5"/>
      <c r="N25" s="5"/>
      <c r="O25" s="5"/>
      <c r="P25" s="5"/>
    </row>
    <row r="26" spans="1:16" x14ac:dyDescent="0.3">
      <c r="A26" s="5"/>
      <c r="B26" s="5"/>
      <c r="C26" s="5"/>
      <c r="D26" s="5"/>
      <c r="E26" s="5"/>
      <c r="F26" s="5"/>
      <c r="G26" s="5"/>
      <c r="H26" s="5"/>
      <c r="I26" s="5"/>
      <c r="J26" s="5"/>
      <c r="K26" s="5"/>
      <c r="L26" s="5"/>
      <c r="M26" s="5"/>
      <c r="N26" s="5"/>
      <c r="O26" s="5"/>
      <c r="P26" s="5"/>
    </row>
    <row r="27" spans="1:16" ht="21" customHeight="1" x14ac:dyDescent="0.3">
      <c r="A27" s="8" t="s">
        <v>8</v>
      </c>
      <c r="B27" s="8"/>
      <c r="C27" s="8"/>
      <c r="D27" s="8"/>
      <c r="E27" s="8"/>
      <c r="F27" s="8"/>
      <c r="G27" s="8"/>
      <c r="H27" s="8"/>
      <c r="I27" s="8"/>
      <c r="J27" s="8"/>
      <c r="K27" s="8"/>
      <c r="L27" s="8"/>
      <c r="M27" s="8"/>
      <c r="N27" s="8"/>
      <c r="O27" s="8"/>
      <c r="P27" s="8"/>
    </row>
    <row r="28" spans="1:16" x14ac:dyDescent="0.3">
      <c r="A28" s="5"/>
      <c r="B28" s="5"/>
      <c r="C28" s="5"/>
      <c r="D28" s="5"/>
      <c r="E28" s="5"/>
      <c r="F28" s="5"/>
      <c r="G28" s="5"/>
      <c r="H28" s="5"/>
      <c r="I28" s="5"/>
      <c r="J28" s="5"/>
      <c r="K28" s="5"/>
      <c r="L28" s="5"/>
      <c r="M28" s="5"/>
      <c r="N28" s="5"/>
      <c r="O28" s="5"/>
      <c r="P28" s="5"/>
    </row>
  </sheetData>
  <mergeCells count="1">
    <mergeCell ref="A27:P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FAA5-50D3-45BB-8810-E70A05C83F40}">
  <dimension ref="A2:Q27"/>
  <sheetViews>
    <sheetView workbookViewId="0"/>
  </sheetViews>
  <sheetFormatPr defaultRowHeight="14.4" x14ac:dyDescent="0.3"/>
  <sheetData>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row r="26" spans="1:17" x14ac:dyDescent="0.3">
      <c r="A26" s="5"/>
      <c r="B26" s="5"/>
      <c r="C26" s="5"/>
      <c r="D26" s="5"/>
      <c r="E26" s="5"/>
      <c r="F26" s="5"/>
      <c r="G26" s="5"/>
      <c r="H26" s="5"/>
      <c r="I26" s="5"/>
      <c r="J26" s="5"/>
      <c r="K26" s="5"/>
      <c r="L26" s="5"/>
      <c r="M26" s="5"/>
      <c r="N26" s="5"/>
      <c r="O26" s="5"/>
      <c r="P26" s="5"/>
      <c r="Q26" s="5"/>
    </row>
    <row r="27" spans="1:17" x14ac:dyDescent="0.3">
      <c r="A27" s="5"/>
      <c r="B27" s="5"/>
      <c r="C27" s="5"/>
      <c r="D27" s="5"/>
      <c r="E27" s="5"/>
      <c r="F27" s="5"/>
      <c r="G27" s="5"/>
      <c r="H27" s="5"/>
      <c r="I27" s="5"/>
      <c r="J27" s="5"/>
      <c r="K27" s="5"/>
      <c r="L27" s="5"/>
      <c r="M27" s="5"/>
      <c r="N27" s="5"/>
      <c r="O27" s="5"/>
      <c r="P27" s="5"/>
      <c r="Q27"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B62D-38B6-4E58-A859-16461BDA901D}">
  <dimension ref="A1:P28"/>
  <sheetViews>
    <sheetView workbookViewId="0"/>
  </sheetViews>
  <sheetFormatPr defaultRowHeight="14.4" x14ac:dyDescent="0.3"/>
  <sheetData>
    <row r="1" spans="1:16" x14ac:dyDescent="0.3">
      <c r="A1" s="5"/>
      <c r="B1" s="5"/>
      <c r="C1" s="5"/>
      <c r="D1" s="5"/>
      <c r="E1" s="5"/>
      <c r="F1" s="5"/>
      <c r="G1" s="5"/>
      <c r="H1" s="5"/>
      <c r="I1" s="5"/>
      <c r="J1" s="5"/>
      <c r="K1" s="5"/>
      <c r="L1" s="5"/>
      <c r="M1" s="5"/>
      <c r="N1" s="5"/>
      <c r="O1" s="5"/>
      <c r="P1" s="5"/>
    </row>
    <row r="2" spans="1:16" x14ac:dyDescent="0.3">
      <c r="A2" s="5"/>
      <c r="B2" s="5"/>
      <c r="C2" s="5"/>
      <c r="D2" s="5"/>
      <c r="E2" s="5"/>
      <c r="F2" s="5"/>
      <c r="G2" s="5"/>
      <c r="H2" s="5"/>
      <c r="I2" s="5"/>
      <c r="J2" s="5"/>
      <c r="K2" s="5"/>
      <c r="L2" s="5"/>
      <c r="M2" s="5"/>
      <c r="N2" s="5"/>
      <c r="O2" s="5"/>
      <c r="P2" s="5"/>
    </row>
    <row r="3" spans="1:16" x14ac:dyDescent="0.3">
      <c r="A3" s="5"/>
      <c r="B3" s="5"/>
      <c r="C3" s="5"/>
      <c r="D3" s="5"/>
      <c r="E3" s="5"/>
      <c r="F3" s="5"/>
      <c r="G3" s="5"/>
      <c r="H3" s="5"/>
      <c r="I3" s="5"/>
      <c r="J3" s="5"/>
      <c r="K3" s="5"/>
      <c r="L3" s="5"/>
      <c r="M3" s="5"/>
      <c r="N3" s="5"/>
      <c r="O3" s="5"/>
      <c r="P3" s="5"/>
    </row>
    <row r="4" spans="1:16" x14ac:dyDescent="0.3">
      <c r="A4" s="5"/>
      <c r="B4" s="5"/>
      <c r="C4" s="5"/>
      <c r="D4" s="5"/>
      <c r="E4" s="5"/>
      <c r="F4" s="5"/>
      <c r="G4" s="5"/>
      <c r="H4" s="5"/>
      <c r="I4" s="5"/>
      <c r="J4" s="5"/>
      <c r="K4" s="5"/>
      <c r="L4" s="5"/>
      <c r="M4" s="5"/>
      <c r="N4" s="5"/>
      <c r="O4" s="5"/>
      <c r="P4" s="5"/>
    </row>
    <row r="5" spans="1:16" x14ac:dyDescent="0.3">
      <c r="A5" s="5"/>
      <c r="B5" s="5"/>
      <c r="C5" s="5"/>
      <c r="D5" s="5"/>
      <c r="E5" s="5"/>
      <c r="F5" s="5"/>
      <c r="G5" s="5"/>
      <c r="H5" s="5"/>
      <c r="I5" s="5"/>
      <c r="J5" s="5"/>
      <c r="K5" s="5"/>
      <c r="L5" s="5"/>
      <c r="M5" s="5"/>
      <c r="N5" s="5"/>
      <c r="O5" s="5"/>
      <c r="P5" s="5"/>
    </row>
    <row r="6" spans="1:16" x14ac:dyDescent="0.3">
      <c r="A6" s="5"/>
      <c r="B6" s="5"/>
      <c r="C6" s="5"/>
      <c r="D6" s="5"/>
      <c r="E6" s="5"/>
      <c r="F6" s="5"/>
      <c r="G6" s="5"/>
      <c r="H6" s="5"/>
      <c r="I6" s="5"/>
      <c r="J6" s="5"/>
      <c r="K6" s="5"/>
      <c r="L6" s="5"/>
      <c r="M6" s="5"/>
      <c r="N6" s="5"/>
      <c r="O6" s="5"/>
      <c r="P6" s="5"/>
    </row>
    <row r="7" spans="1:16" x14ac:dyDescent="0.3">
      <c r="A7" s="5"/>
      <c r="B7" s="5"/>
      <c r="C7" s="5"/>
      <c r="D7" s="5"/>
      <c r="E7" s="5"/>
      <c r="F7" s="5"/>
      <c r="G7" s="5"/>
      <c r="H7" s="5"/>
      <c r="I7" s="5"/>
      <c r="J7" s="5"/>
      <c r="K7" s="5"/>
      <c r="L7" s="5"/>
      <c r="M7" s="5"/>
      <c r="N7" s="5"/>
      <c r="O7" s="5"/>
      <c r="P7" s="5"/>
    </row>
    <row r="8" spans="1:16" x14ac:dyDescent="0.3">
      <c r="A8" s="5"/>
      <c r="B8" s="5"/>
      <c r="C8" s="5"/>
      <c r="D8" s="5"/>
      <c r="E8" s="5"/>
      <c r="F8" s="5"/>
      <c r="G8" s="5"/>
      <c r="H8" s="5"/>
      <c r="I8" s="5"/>
      <c r="J8" s="5"/>
      <c r="K8" s="5"/>
      <c r="L8" s="5"/>
      <c r="M8" s="5"/>
      <c r="N8" s="5"/>
      <c r="O8" s="5"/>
      <c r="P8" s="5"/>
    </row>
    <row r="9" spans="1:16" x14ac:dyDescent="0.3">
      <c r="A9" s="5"/>
      <c r="B9" s="5"/>
      <c r="C9" s="5"/>
      <c r="D9" s="5"/>
      <c r="E9" s="5"/>
      <c r="F9" s="5"/>
      <c r="G9" s="5"/>
      <c r="H9" s="5"/>
      <c r="I9" s="5"/>
      <c r="J9" s="5"/>
      <c r="K9" s="5"/>
      <c r="L9" s="5"/>
      <c r="M9" s="5"/>
      <c r="N9" s="5"/>
      <c r="O9" s="5"/>
      <c r="P9" s="5"/>
    </row>
    <row r="10" spans="1:16" x14ac:dyDescent="0.3">
      <c r="A10" s="5"/>
      <c r="B10" s="5"/>
      <c r="C10" s="5"/>
      <c r="D10" s="5"/>
      <c r="E10" s="5"/>
      <c r="F10" s="5"/>
      <c r="G10" s="5"/>
      <c r="H10" s="5"/>
      <c r="I10" s="5"/>
      <c r="J10" s="5"/>
      <c r="K10" s="5"/>
      <c r="L10" s="5"/>
      <c r="M10" s="5"/>
      <c r="N10" s="5"/>
      <c r="O10" s="5"/>
      <c r="P10" s="5"/>
    </row>
    <row r="11" spans="1:16" x14ac:dyDescent="0.3">
      <c r="A11" s="5"/>
      <c r="B11" s="5"/>
      <c r="C11" s="5"/>
      <c r="D11" s="5"/>
      <c r="E11" s="5"/>
      <c r="F11" s="5"/>
      <c r="G11" s="5"/>
      <c r="H11" s="5"/>
      <c r="I11" s="5"/>
      <c r="J11" s="5"/>
      <c r="K11" s="5"/>
      <c r="L11" s="5"/>
      <c r="M11" s="5"/>
      <c r="N11" s="5"/>
      <c r="O11" s="5"/>
      <c r="P11" s="5"/>
    </row>
    <row r="12" spans="1:16" x14ac:dyDescent="0.3">
      <c r="A12" s="5"/>
      <c r="B12" s="5"/>
      <c r="C12" s="5"/>
      <c r="D12" s="5"/>
      <c r="E12" s="5"/>
      <c r="F12" s="5"/>
      <c r="G12" s="5"/>
      <c r="H12" s="5"/>
      <c r="I12" s="5"/>
      <c r="J12" s="5"/>
      <c r="K12" s="5"/>
      <c r="L12" s="5"/>
      <c r="M12" s="5"/>
      <c r="N12" s="5"/>
      <c r="O12" s="5"/>
      <c r="P12" s="5"/>
    </row>
    <row r="13" spans="1:16" x14ac:dyDescent="0.3">
      <c r="A13" s="5"/>
      <c r="B13" s="5"/>
      <c r="C13" s="5"/>
      <c r="D13" s="5"/>
      <c r="E13" s="5"/>
      <c r="F13" s="5"/>
      <c r="G13" s="5"/>
      <c r="H13" s="5"/>
      <c r="I13" s="5"/>
      <c r="J13" s="5"/>
      <c r="K13" s="5"/>
      <c r="L13" s="5"/>
      <c r="M13" s="5"/>
      <c r="N13" s="5"/>
      <c r="O13" s="5"/>
      <c r="P13" s="5"/>
    </row>
    <row r="14" spans="1:16" x14ac:dyDescent="0.3">
      <c r="A14" s="5"/>
      <c r="B14" s="5"/>
      <c r="C14" s="5"/>
      <c r="D14" s="5"/>
      <c r="E14" s="5"/>
      <c r="F14" s="5"/>
      <c r="G14" s="5"/>
      <c r="H14" s="5"/>
      <c r="I14" s="5"/>
      <c r="J14" s="5"/>
      <c r="K14" s="5"/>
      <c r="L14" s="5"/>
      <c r="M14" s="5"/>
      <c r="N14" s="5"/>
      <c r="O14" s="5"/>
      <c r="P14" s="5"/>
    </row>
    <row r="15" spans="1:16" x14ac:dyDescent="0.3">
      <c r="A15" s="5"/>
      <c r="B15" s="5"/>
      <c r="C15" s="5"/>
      <c r="D15" s="5"/>
      <c r="E15" s="5"/>
      <c r="F15" s="5"/>
      <c r="G15" s="5"/>
      <c r="H15" s="5"/>
      <c r="I15" s="5"/>
      <c r="J15" s="5"/>
      <c r="K15" s="5"/>
      <c r="L15" s="5"/>
      <c r="M15" s="5"/>
      <c r="N15" s="5"/>
      <c r="O15" s="5"/>
      <c r="P15" s="5"/>
    </row>
    <row r="16" spans="1:16" x14ac:dyDescent="0.3">
      <c r="A16" s="5"/>
      <c r="B16" s="5"/>
      <c r="C16" s="5"/>
      <c r="D16" s="5"/>
      <c r="E16" s="5"/>
      <c r="F16" s="5"/>
      <c r="G16" s="5"/>
      <c r="H16" s="5"/>
      <c r="I16" s="5"/>
      <c r="J16" s="5"/>
      <c r="K16" s="5"/>
      <c r="L16" s="5"/>
      <c r="M16" s="5"/>
      <c r="N16" s="5"/>
      <c r="O16" s="5"/>
      <c r="P16" s="5"/>
    </row>
    <row r="17" spans="1:16" x14ac:dyDescent="0.3">
      <c r="A17" s="5"/>
      <c r="B17" s="5"/>
      <c r="C17" s="5"/>
      <c r="D17" s="5"/>
      <c r="E17" s="5"/>
      <c r="F17" s="5"/>
      <c r="G17" s="5"/>
      <c r="H17" s="5"/>
      <c r="I17" s="5"/>
      <c r="J17" s="5"/>
      <c r="K17" s="5"/>
      <c r="L17" s="5"/>
      <c r="M17" s="5"/>
      <c r="N17" s="5"/>
      <c r="O17" s="5"/>
      <c r="P17" s="5"/>
    </row>
    <row r="18" spans="1:16" x14ac:dyDescent="0.3">
      <c r="A18" s="5"/>
      <c r="B18" s="5"/>
      <c r="C18" s="5"/>
      <c r="D18" s="5"/>
      <c r="E18" s="5"/>
      <c r="F18" s="5"/>
      <c r="G18" s="5"/>
      <c r="H18" s="5"/>
      <c r="I18" s="5"/>
      <c r="J18" s="5"/>
      <c r="K18" s="5"/>
      <c r="L18" s="5"/>
      <c r="M18" s="5"/>
      <c r="N18" s="5"/>
      <c r="O18" s="5"/>
      <c r="P18" s="5"/>
    </row>
    <row r="19" spans="1:16" x14ac:dyDescent="0.3">
      <c r="A19" s="5"/>
      <c r="B19" s="5"/>
      <c r="C19" s="5"/>
      <c r="D19" s="5"/>
      <c r="E19" s="5"/>
      <c r="F19" s="5"/>
      <c r="G19" s="5"/>
      <c r="H19" s="5"/>
      <c r="I19" s="5"/>
      <c r="J19" s="5"/>
      <c r="K19" s="5"/>
      <c r="L19" s="5"/>
      <c r="M19" s="5"/>
      <c r="N19" s="5"/>
      <c r="O19" s="5"/>
      <c r="P19" s="5"/>
    </row>
    <row r="20" spans="1:16" x14ac:dyDescent="0.3">
      <c r="A20" s="5"/>
      <c r="B20" s="5"/>
      <c r="C20" s="5"/>
      <c r="D20" s="5"/>
      <c r="E20" s="5"/>
      <c r="F20" s="5"/>
      <c r="G20" s="5"/>
      <c r="H20" s="5"/>
      <c r="I20" s="5"/>
      <c r="J20" s="5"/>
      <c r="K20" s="5"/>
      <c r="L20" s="5"/>
      <c r="M20" s="5"/>
      <c r="N20" s="5"/>
      <c r="O20" s="5"/>
      <c r="P20" s="5"/>
    </row>
    <row r="21" spans="1:16" x14ac:dyDescent="0.3">
      <c r="A21" s="5"/>
      <c r="B21" s="5"/>
      <c r="C21" s="5"/>
      <c r="D21" s="5"/>
      <c r="E21" s="5"/>
      <c r="F21" s="5"/>
      <c r="G21" s="5"/>
      <c r="H21" s="5"/>
      <c r="I21" s="5"/>
      <c r="J21" s="5"/>
      <c r="K21" s="5"/>
      <c r="L21" s="5"/>
      <c r="M21" s="5"/>
      <c r="N21" s="5"/>
      <c r="O21" s="5"/>
      <c r="P21" s="5"/>
    </row>
    <row r="22" spans="1:16" x14ac:dyDescent="0.3">
      <c r="A22" s="5"/>
      <c r="B22" s="5"/>
      <c r="C22" s="5"/>
      <c r="D22" s="5"/>
      <c r="E22" s="5"/>
      <c r="F22" s="5"/>
      <c r="G22" s="5"/>
      <c r="H22" s="5"/>
      <c r="I22" s="5"/>
      <c r="J22" s="5"/>
      <c r="K22" s="5"/>
      <c r="L22" s="5"/>
      <c r="M22" s="5"/>
      <c r="N22" s="5"/>
      <c r="O22" s="5"/>
      <c r="P22" s="5"/>
    </row>
    <row r="23" spans="1:16" x14ac:dyDescent="0.3">
      <c r="A23" s="5"/>
      <c r="B23" s="5"/>
      <c r="C23" s="5"/>
      <c r="D23" s="5"/>
      <c r="E23" s="5"/>
      <c r="F23" s="5"/>
      <c r="G23" s="5"/>
      <c r="H23" s="5"/>
      <c r="I23" s="5"/>
      <c r="J23" s="5"/>
      <c r="K23" s="5"/>
      <c r="L23" s="5"/>
      <c r="M23" s="5"/>
      <c r="N23" s="5"/>
      <c r="O23" s="5"/>
      <c r="P23" s="5"/>
    </row>
    <row r="24" spans="1:16" x14ac:dyDescent="0.3">
      <c r="A24" s="5"/>
      <c r="B24" s="5"/>
      <c r="C24" s="5"/>
      <c r="D24" s="5"/>
      <c r="E24" s="5"/>
      <c r="F24" s="5"/>
      <c r="G24" s="5"/>
      <c r="H24" s="5"/>
      <c r="I24" s="5"/>
      <c r="J24" s="5"/>
      <c r="K24" s="5"/>
      <c r="L24" s="5"/>
      <c r="M24" s="5"/>
      <c r="N24" s="5"/>
      <c r="O24" s="5"/>
      <c r="P24" s="5"/>
    </row>
    <row r="25" spans="1:16" x14ac:dyDescent="0.3">
      <c r="A25" s="5"/>
      <c r="B25" s="5"/>
      <c r="C25" s="5"/>
      <c r="D25" s="5"/>
      <c r="E25" s="5"/>
      <c r="F25" s="5"/>
      <c r="G25" s="5"/>
      <c r="H25" s="5"/>
      <c r="I25" s="5"/>
      <c r="J25" s="5"/>
      <c r="K25" s="5"/>
      <c r="L25" s="5"/>
      <c r="M25" s="5"/>
      <c r="N25" s="5"/>
      <c r="O25" s="5"/>
      <c r="P25" s="5"/>
    </row>
    <row r="26" spans="1:16" x14ac:dyDescent="0.3">
      <c r="A26" s="5"/>
      <c r="B26" s="5"/>
      <c r="C26" s="5"/>
      <c r="D26" s="5"/>
      <c r="E26" s="5"/>
      <c r="F26" s="5"/>
      <c r="G26" s="5"/>
      <c r="H26" s="5"/>
      <c r="I26" s="5"/>
      <c r="J26" s="5"/>
      <c r="K26" s="5"/>
      <c r="L26" s="5"/>
      <c r="M26" s="5"/>
      <c r="N26" s="5"/>
      <c r="O26" s="5"/>
      <c r="P26" s="5"/>
    </row>
    <row r="27" spans="1:16" ht="21" customHeight="1" x14ac:dyDescent="0.3">
      <c r="A27" s="8" t="s">
        <v>9</v>
      </c>
      <c r="B27" s="8"/>
      <c r="C27" s="8"/>
      <c r="D27" s="8"/>
      <c r="E27" s="8"/>
      <c r="F27" s="8"/>
      <c r="G27" s="8"/>
      <c r="H27" s="8"/>
      <c r="I27" s="8"/>
      <c r="J27" s="8"/>
      <c r="K27" s="8"/>
      <c r="L27" s="8"/>
      <c r="M27" s="8"/>
      <c r="N27" s="8"/>
      <c r="O27" s="8"/>
      <c r="P27" s="8"/>
    </row>
    <row r="28" spans="1:16" x14ac:dyDescent="0.3">
      <c r="A28" s="5"/>
      <c r="B28" s="5"/>
      <c r="C28" s="5"/>
      <c r="D28" s="5"/>
      <c r="E28" s="5"/>
      <c r="F28" s="5"/>
      <c r="G28" s="5"/>
      <c r="H28" s="5"/>
      <c r="I28" s="5"/>
      <c r="J28" s="5"/>
      <c r="K28" s="5"/>
      <c r="L28" s="5"/>
      <c r="M28" s="5"/>
      <c r="N28" s="5"/>
      <c r="O28" s="5"/>
      <c r="P28" s="5"/>
    </row>
  </sheetData>
  <mergeCells count="1">
    <mergeCell ref="A27:P2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06EC215-D5D8-4A3B-9462-A8ED52470D7C}">
  <ds:schemaRefs/>
</ds:datastoreItem>
</file>

<file path=customXml/itemProps2.xml><?xml version="1.0" encoding="utf-8"?>
<ds:datastoreItem xmlns:ds="http://schemas.openxmlformats.org/officeDocument/2006/customXml" ds:itemID="{7951C28C-FAF2-4D12-9CB3-FD3640E75F46}">
  <ds:schemaRefs/>
</ds:datastoreItem>
</file>

<file path=customXml/itemProps3.xml><?xml version="1.0" encoding="utf-8"?>
<ds:datastoreItem xmlns:ds="http://schemas.openxmlformats.org/officeDocument/2006/customXml" ds:itemID="{9C91D222-A578-4D66-BB67-5FEA482487A5}">
  <ds:schemaRefs/>
</ds:datastoreItem>
</file>

<file path=customXml/itemProps4.xml><?xml version="1.0" encoding="utf-8"?>
<ds:datastoreItem xmlns:ds="http://schemas.openxmlformats.org/officeDocument/2006/customXml" ds:itemID="{F46091B9-B536-4277-875B-AF21E8493594}">
  <ds:schemaRefs/>
</ds:datastoreItem>
</file>

<file path=customXml/itemProps5.xml><?xml version="1.0" encoding="utf-8"?>
<ds:datastoreItem xmlns:ds="http://schemas.openxmlformats.org/officeDocument/2006/customXml" ds:itemID="{78CABAD3-47EF-4D6A-B965-5C1ABA3FC1AF}">
  <ds:schemaRefs/>
</ds:datastoreItem>
</file>

<file path=customXml/itemProps6.xml><?xml version="1.0" encoding="utf-8"?>
<ds:datastoreItem xmlns:ds="http://schemas.openxmlformats.org/officeDocument/2006/customXml" ds:itemID="{49B8B2B5-7710-49DF-AD61-57AE44C7ABF1}">
  <ds:schemaRefs/>
</ds:datastoreItem>
</file>

<file path=customXml/itemProps7.xml><?xml version="1.0" encoding="utf-8"?>
<ds:datastoreItem xmlns:ds="http://schemas.openxmlformats.org/officeDocument/2006/customXml" ds:itemID="{2CE37477-145B-4D6B-B4B5-CFC581DD28EC}">
  <ds:schemaRefs/>
</ds:datastoreItem>
</file>

<file path=customXml/itemProps8.xml><?xml version="1.0" encoding="utf-8"?>
<ds:datastoreItem xmlns:ds="http://schemas.openxmlformats.org/officeDocument/2006/customXml" ds:itemID="{124115AB-CE59-4037-8B1C-C425F6EA480B}">
  <ds:schemaRefs/>
</ds:datastoreItem>
</file>

<file path=customXml/itemProps9.xml><?xml version="1.0" encoding="utf-8"?>
<ds:datastoreItem xmlns:ds="http://schemas.openxmlformats.org/officeDocument/2006/customXml" ds:itemID="{3E8303A3-EB62-465D-A083-9499AA6ECAE2}">
  <ds:schemaRefs>
    <ds:schemaRef ds:uri="http://schemas.microsoft.com/DataMashup"/>
  </ds:schemaRefs>
</ds:datastoreItem>
</file>

<file path=customXml/itemProps10.xml><?xml version="1.0" encoding="utf-8"?>
<ds:datastoreItem xmlns:ds="http://schemas.openxmlformats.org/officeDocument/2006/customXml" ds:itemID="{E90D0FAE-0C27-442E-90C7-A6E679942479}">
  <ds:schemaRefs/>
</ds:datastoreItem>
</file>

<file path=customXml/itemProps11.xml><?xml version="1.0" encoding="utf-8"?>
<ds:datastoreItem xmlns:ds="http://schemas.openxmlformats.org/officeDocument/2006/customXml" ds:itemID="{196EDC09-AA9E-4A40-BAA5-6138822E3518}">
  <ds:schemaRefs/>
</ds:datastoreItem>
</file>

<file path=customXml/itemProps12.xml><?xml version="1.0" encoding="utf-8"?>
<ds:datastoreItem xmlns:ds="http://schemas.openxmlformats.org/officeDocument/2006/customXml" ds:itemID="{385D868B-374E-4659-9433-58721814DB11}">
  <ds:schemaRefs/>
</ds:datastoreItem>
</file>

<file path=customXml/itemProps13.xml><?xml version="1.0" encoding="utf-8"?>
<ds:datastoreItem xmlns:ds="http://schemas.openxmlformats.org/officeDocument/2006/customXml" ds:itemID="{BDC1CC46-A520-4767-A6CF-0016C741F789}">
  <ds:schemaRefs/>
</ds:datastoreItem>
</file>

<file path=customXml/itemProps14.xml><?xml version="1.0" encoding="utf-8"?>
<ds:datastoreItem xmlns:ds="http://schemas.openxmlformats.org/officeDocument/2006/customXml" ds:itemID="{C6222153-8DE7-49B3-B2FD-A611C09FA284}">
  <ds:schemaRefs/>
</ds:datastoreItem>
</file>

<file path=customXml/itemProps15.xml><?xml version="1.0" encoding="utf-8"?>
<ds:datastoreItem xmlns:ds="http://schemas.openxmlformats.org/officeDocument/2006/customXml" ds:itemID="{F9570D2A-8D89-4ED2-9B7C-025D626CA128}">
  <ds:schemaRefs/>
</ds:datastoreItem>
</file>

<file path=customXml/itemProps16.xml><?xml version="1.0" encoding="utf-8"?>
<ds:datastoreItem xmlns:ds="http://schemas.openxmlformats.org/officeDocument/2006/customXml" ds:itemID="{524D4229-A619-4EC4-8E87-1D0DBDD9D065}">
  <ds:schemaRefs/>
</ds:datastoreItem>
</file>

<file path=customXml/itemProps17.xml><?xml version="1.0" encoding="utf-8"?>
<ds:datastoreItem xmlns:ds="http://schemas.openxmlformats.org/officeDocument/2006/customXml" ds:itemID="{347DE192-E896-4F81-A45F-7BD41132AFEC}">
  <ds:schemaRefs/>
</ds:datastoreItem>
</file>

<file path=customXml/itemProps18.xml><?xml version="1.0" encoding="utf-8"?>
<ds:datastoreItem xmlns:ds="http://schemas.openxmlformats.org/officeDocument/2006/customXml" ds:itemID="{FB84632F-84B2-4C33-BB10-2338C3EBF8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ER No. of Patients</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vargaonkar</dc:creator>
  <cp:lastModifiedBy>yash vargaonkar</cp:lastModifiedBy>
  <dcterms:created xsi:type="dcterms:W3CDTF">2026-08-08T07:36:06Z</dcterms:created>
  <dcterms:modified xsi:type="dcterms:W3CDTF">2026-08-09T13:08:23Z</dcterms:modified>
</cp:coreProperties>
</file>